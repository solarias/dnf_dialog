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90" windowWidth="19200" windowHeight="9840" tabRatio="805"/>
  </bookViews>
  <sheets>
    <sheet name="coop" sheetId="16" r:id="rId1"/>
  </sheets>
  <calcPr calcId="125725"/>
</workbook>
</file>

<file path=xl/calcChain.xml><?xml version="1.0" encoding="utf-8"?>
<calcChain xmlns="http://schemas.openxmlformats.org/spreadsheetml/2006/main">
  <c r="G63" i="16"/>
  <c r="K63"/>
  <c r="O63"/>
  <c r="G60"/>
  <c r="K60"/>
  <c r="O60"/>
  <c r="G61"/>
  <c r="K61"/>
  <c r="O61"/>
  <c r="G62"/>
  <c r="K62"/>
  <c r="O62"/>
  <c r="G59"/>
  <c r="K59"/>
  <c r="O59"/>
  <c r="G256"/>
  <c r="K256"/>
  <c r="O256"/>
  <c r="G333"/>
  <c r="K333"/>
  <c r="O333"/>
  <c r="G334"/>
  <c r="K334"/>
  <c r="O334"/>
  <c r="G335"/>
  <c r="K335"/>
  <c r="O335"/>
  <c r="G336"/>
  <c r="K336"/>
  <c r="O336"/>
  <c r="G337"/>
  <c r="K337"/>
  <c r="O337"/>
  <c r="G338"/>
  <c r="K338"/>
  <c r="O338"/>
  <c r="G339"/>
  <c r="K339"/>
  <c r="O339"/>
  <c r="G340"/>
  <c r="K340"/>
  <c r="O340"/>
  <c r="G341"/>
  <c r="K341"/>
  <c r="O341"/>
  <c r="G342"/>
  <c r="K342"/>
  <c r="O342"/>
  <c r="G343"/>
  <c r="K343"/>
  <c r="O343"/>
  <c r="G344"/>
  <c r="K344"/>
  <c r="O344"/>
  <c r="G345"/>
  <c r="K345"/>
  <c r="O345"/>
  <c r="G346"/>
  <c r="K346"/>
  <c r="O346"/>
  <c r="G347"/>
  <c r="K347"/>
  <c r="O347"/>
  <c r="G332"/>
  <c r="K332"/>
  <c r="O332"/>
  <c r="G328"/>
  <c r="K328"/>
  <c r="O328"/>
  <c r="G329"/>
  <c r="K329"/>
  <c r="O329"/>
  <c r="G330"/>
  <c r="K330"/>
  <c r="O330"/>
  <c r="G331"/>
  <c r="K331"/>
  <c r="O331"/>
  <c r="G326"/>
  <c r="K326"/>
  <c r="O326"/>
  <c r="G327"/>
  <c r="K327"/>
  <c r="O327"/>
  <c r="G315"/>
  <c r="K315"/>
  <c r="O315"/>
  <c r="G316"/>
  <c r="K316"/>
  <c r="O316"/>
  <c r="G317"/>
  <c r="K317"/>
  <c r="O317"/>
  <c r="G318"/>
  <c r="K318"/>
  <c r="O318"/>
  <c r="G319"/>
  <c r="K319"/>
  <c r="O319"/>
  <c r="G320"/>
  <c r="K320"/>
  <c r="O320"/>
  <c r="G321"/>
  <c r="K321"/>
  <c r="O321"/>
  <c r="G322"/>
  <c r="K322"/>
  <c r="O322"/>
  <c r="G323"/>
  <c r="K323"/>
  <c r="O323"/>
  <c r="G324"/>
  <c r="K324"/>
  <c r="O324"/>
  <c r="G325"/>
  <c r="K325"/>
  <c r="O325"/>
  <c r="G308"/>
  <c r="K308"/>
  <c r="O308"/>
  <c r="G303"/>
  <c r="K303"/>
  <c r="O303"/>
  <c r="G304"/>
  <c r="K304"/>
  <c r="O304"/>
  <c r="G305"/>
  <c r="K305"/>
  <c r="O305"/>
  <c r="G306"/>
  <c r="K306"/>
  <c r="O306"/>
  <c r="G307"/>
  <c r="K307"/>
  <c r="O307"/>
  <c r="G309"/>
  <c r="K309"/>
  <c r="O309"/>
  <c r="G310"/>
  <c r="K310"/>
  <c r="O310"/>
  <c r="G311"/>
  <c r="K311"/>
  <c r="O311"/>
  <c r="G312"/>
  <c r="K312"/>
  <c r="O312"/>
  <c r="G313"/>
  <c r="K313"/>
  <c r="O313"/>
  <c r="G314"/>
  <c r="K314"/>
  <c r="O314"/>
  <c r="G302"/>
  <c r="K302"/>
  <c r="O302"/>
  <c r="G297"/>
  <c r="K297"/>
  <c r="O297"/>
  <c r="G298"/>
  <c r="K298"/>
  <c r="O298"/>
  <c r="G299"/>
  <c r="K299"/>
  <c r="O299"/>
  <c r="G300"/>
  <c r="K300"/>
  <c r="O300"/>
  <c r="G301"/>
  <c r="K301"/>
  <c r="O301"/>
  <c r="G291"/>
  <c r="K291"/>
  <c r="O291"/>
  <c r="G292"/>
  <c r="K292"/>
  <c r="O292"/>
  <c r="G293"/>
  <c r="K293"/>
  <c r="O293"/>
  <c r="G294"/>
  <c r="K294"/>
  <c r="O294"/>
  <c r="G295"/>
  <c r="K295"/>
  <c r="O295"/>
  <c r="G296"/>
  <c r="K296"/>
  <c r="O296"/>
  <c r="G286"/>
  <c r="K286"/>
  <c r="O286"/>
  <c r="G287"/>
  <c r="K287"/>
  <c r="O287"/>
  <c r="G288"/>
  <c r="K288"/>
  <c r="O288"/>
  <c r="G289"/>
  <c r="K289"/>
  <c r="O289"/>
  <c r="G290"/>
  <c r="K290"/>
  <c r="O290"/>
  <c r="G57"/>
  <c r="K57"/>
  <c r="O57"/>
  <c r="G273"/>
  <c r="K273"/>
  <c r="O273"/>
  <c r="G274"/>
  <c r="K274"/>
  <c r="O274"/>
  <c r="G275"/>
  <c r="K275"/>
  <c r="O275"/>
  <c r="G276"/>
  <c r="K276"/>
  <c r="O276"/>
  <c r="G277"/>
  <c r="K277"/>
  <c r="O277"/>
  <c r="G278"/>
  <c r="K278"/>
  <c r="O278"/>
  <c r="G279"/>
  <c r="K279"/>
  <c r="O279"/>
  <c r="G280"/>
  <c r="K280"/>
  <c r="O280"/>
  <c r="G281"/>
  <c r="K281"/>
  <c r="O281"/>
  <c r="G282"/>
  <c r="K282"/>
  <c r="O282"/>
  <c r="G283"/>
  <c r="K283"/>
  <c r="O283"/>
  <c r="G284"/>
  <c r="K284"/>
  <c r="O284"/>
  <c r="G285"/>
  <c r="K285"/>
  <c r="O285"/>
  <c r="G272"/>
  <c r="K272"/>
  <c r="O272"/>
  <c r="G56"/>
  <c r="K56"/>
  <c r="O56"/>
  <c r="G268"/>
  <c r="K268"/>
  <c r="O268"/>
  <c r="G269"/>
  <c r="K269"/>
  <c r="O269"/>
  <c r="G270"/>
  <c r="K270"/>
  <c r="O270"/>
  <c r="G271"/>
  <c r="K271"/>
  <c r="O271"/>
  <c r="G265"/>
  <c r="K265"/>
  <c r="O265"/>
  <c r="G266"/>
  <c r="K266"/>
  <c r="O266"/>
  <c r="G267"/>
  <c r="K267"/>
  <c r="O267"/>
  <c r="G55"/>
  <c r="K55"/>
  <c r="O55"/>
  <c r="G124"/>
  <c r="K124"/>
  <c r="O124"/>
  <c r="G125"/>
  <c r="K125"/>
  <c r="O125"/>
  <c r="G126"/>
  <c r="K126"/>
  <c r="O126"/>
  <c r="G127"/>
  <c r="K127"/>
  <c r="O127"/>
  <c r="G128"/>
  <c r="K128"/>
  <c r="O128"/>
  <c r="G103"/>
  <c r="K103"/>
  <c r="O103"/>
  <c r="G104"/>
  <c r="K104"/>
  <c r="O104"/>
  <c r="G105"/>
  <c r="K105"/>
  <c r="O105"/>
  <c r="G106"/>
  <c r="K106"/>
  <c r="O106"/>
  <c r="G107"/>
  <c r="K107"/>
  <c r="O107"/>
  <c r="G54"/>
  <c r="K54"/>
  <c r="O54"/>
  <c r="G44"/>
  <c r="K44"/>
  <c r="O44"/>
  <c r="G45"/>
  <c r="K45"/>
  <c r="O45"/>
  <c r="G46"/>
  <c r="K46"/>
  <c r="O46"/>
  <c r="G47"/>
  <c r="K47"/>
  <c r="O47"/>
  <c r="G48"/>
  <c r="K48"/>
  <c r="O48"/>
  <c r="G49"/>
  <c r="K49"/>
  <c r="O49"/>
  <c r="G50"/>
  <c r="K50"/>
  <c r="O50"/>
  <c r="G51"/>
  <c r="K51"/>
  <c r="O51"/>
  <c r="G52"/>
  <c r="K52"/>
  <c r="O52"/>
  <c r="G53"/>
  <c r="K53"/>
  <c r="O53"/>
  <c r="G58"/>
  <c r="K58"/>
  <c r="O58"/>
  <c r="G22"/>
  <c r="K22"/>
  <c r="O22"/>
  <c r="G23"/>
  <c r="K23"/>
  <c r="O23"/>
  <c r="G24"/>
  <c r="K24"/>
  <c r="O24"/>
  <c r="G25"/>
  <c r="K25"/>
  <c r="O25"/>
  <c r="G26"/>
  <c r="K26"/>
  <c r="O26"/>
  <c r="G4"/>
  <c r="K4"/>
  <c r="O4"/>
  <c r="G258"/>
  <c r="K258"/>
  <c r="O258"/>
  <c r="G259"/>
  <c r="K259"/>
  <c r="O259"/>
  <c r="G260"/>
  <c r="K260"/>
  <c r="O260"/>
  <c r="G261"/>
  <c r="K261"/>
  <c r="O261"/>
  <c r="G262"/>
  <c r="K262"/>
  <c r="O262"/>
  <c r="G263"/>
  <c r="K263"/>
  <c r="O263"/>
  <c r="G264"/>
  <c r="K264"/>
  <c r="O264"/>
  <c r="G254"/>
  <c r="K254"/>
  <c r="O254"/>
  <c r="G255"/>
  <c r="K255"/>
  <c r="O255"/>
  <c r="G257"/>
  <c r="K257"/>
  <c r="O257"/>
  <c r="G253"/>
  <c r="K253"/>
  <c r="O253"/>
  <c r="G247"/>
  <c r="K247"/>
  <c r="O247"/>
  <c r="G248"/>
  <c r="K248"/>
  <c r="O248"/>
  <c r="G249"/>
  <c r="K249"/>
  <c r="O249"/>
  <c r="G250"/>
  <c r="K250"/>
  <c r="O250"/>
  <c r="G251"/>
  <c r="K251"/>
  <c r="O251"/>
  <c r="G252"/>
  <c r="K252"/>
  <c r="O252"/>
  <c r="G246"/>
  <c r="K246"/>
  <c r="O246"/>
  <c r="G241"/>
  <c r="K241"/>
  <c r="O241"/>
  <c r="G234"/>
  <c r="K234"/>
  <c r="O234"/>
  <c r="G235"/>
  <c r="K235"/>
  <c r="O235"/>
  <c r="G236"/>
  <c r="K236"/>
  <c r="O236"/>
  <c r="G237"/>
  <c r="K237"/>
  <c r="O237"/>
  <c r="G238"/>
  <c r="K238"/>
  <c r="O238"/>
  <c r="G239"/>
  <c r="K239"/>
  <c r="O239"/>
  <c r="G240"/>
  <c r="K240"/>
  <c r="O240"/>
  <c r="G242"/>
  <c r="K242"/>
  <c r="O242"/>
  <c r="G243"/>
  <c r="K243"/>
  <c r="O243"/>
  <c r="G244"/>
  <c r="K244"/>
  <c r="O244"/>
  <c r="G245"/>
  <c r="K245"/>
  <c r="O245"/>
  <c r="G186"/>
  <c r="K186"/>
  <c r="O186"/>
  <c r="G228"/>
  <c r="K228"/>
  <c r="O228"/>
  <c r="G229"/>
  <c r="K229"/>
  <c r="O229"/>
  <c r="G230"/>
  <c r="K230"/>
  <c r="O230"/>
  <c r="G231"/>
  <c r="K231"/>
  <c r="O231"/>
  <c r="G232"/>
  <c r="K232"/>
  <c r="O232"/>
  <c r="G233"/>
  <c r="K233"/>
  <c r="O233"/>
  <c r="G222"/>
  <c r="K222"/>
  <c r="O222"/>
  <c r="G223"/>
  <c r="K223"/>
  <c r="O223"/>
  <c r="G220"/>
  <c r="K220"/>
  <c r="O220"/>
  <c r="G221"/>
  <c r="K221"/>
  <c r="O221"/>
  <c r="G224"/>
  <c r="K224"/>
  <c r="O224"/>
  <c r="G225"/>
  <c r="K225"/>
  <c r="O225"/>
  <c r="G226"/>
  <c r="K226"/>
  <c r="O226"/>
  <c r="G227"/>
  <c r="K227"/>
  <c r="O227"/>
  <c r="G182"/>
  <c r="K182"/>
  <c r="O182"/>
  <c r="G183"/>
  <c r="K183"/>
  <c r="O183"/>
  <c r="G184"/>
  <c r="K184"/>
  <c r="O184"/>
  <c r="G185"/>
  <c r="K185"/>
  <c r="O185"/>
  <c r="G206"/>
  <c r="K206"/>
  <c r="O206"/>
  <c r="G207"/>
  <c r="K207"/>
  <c r="O207"/>
  <c r="G208"/>
  <c r="K208"/>
  <c r="O208"/>
  <c r="G209"/>
  <c r="K209"/>
  <c r="O209"/>
  <c r="G210"/>
  <c r="K210"/>
  <c r="O210"/>
  <c r="G211"/>
  <c r="K211"/>
  <c r="O211"/>
  <c r="G212"/>
  <c r="K212"/>
  <c r="O212"/>
  <c r="G213"/>
  <c r="K213"/>
  <c r="O213"/>
  <c r="G214"/>
  <c r="K214"/>
  <c r="O214"/>
  <c r="G215"/>
  <c r="K215"/>
  <c r="O215"/>
  <c r="G216"/>
  <c r="K216"/>
  <c r="O216"/>
  <c r="G217"/>
  <c r="K217"/>
  <c r="O217"/>
  <c r="G218"/>
  <c r="K218"/>
  <c r="O218"/>
  <c r="G219"/>
  <c r="K219"/>
  <c r="O219"/>
  <c r="G199"/>
  <c r="K199"/>
  <c r="O199"/>
  <c r="G200"/>
  <c r="K200"/>
  <c r="O200"/>
  <c r="G201"/>
  <c r="K201"/>
  <c r="O201"/>
  <c r="G202"/>
  <c r="K202"/>
  <c r="O202"/>
  <c r="G203"/>
  <c r="K203"/>
  <c r="O203"/>
  <c r="G204"/>
  <c r="K204"/>
  <c r="O204"/>
  <c r="G205"/>
  <c r="K205"/>
  <c r="O205"/>
  <c r="G193"/>
  <c r="K193"/>
  <c r="O193"/>
  <c r="G194"/>
  <c r="K194"/>
  <c r="O194"/>
  <c r="G195"/>
  <c r="K195"/>
  <c r="O195"/>
  <c r="G196"/>
  <c r="K196"/>
  <c r="O196"/>
  <c r="G197"/>
  <c r="K197"/>
  <c r="O197"/>
  <c r="G198"/>
  <c r="K198"/>
  <c r="O198"/>
  <c r="O8"/>
  <c r="O9"/>
  <c r="O10"/>
  <c r="O11"/>
  <c r="O12"/>
  <c r="O13"/>
  <c r="O14"/>
  <c r="O15"/>
  <c r="O16"/>
  <c r="O17"/>
  <c r="O18"/>
  <c r="O19"/>
  <c r="O20"/>
  <c r="O21"/>
  <c r="O27"/>
  <c r="O28"/>
  <c r="O29"/>
  <c r="O30"/>
  <c r="O31"/>
  <c r="O32"/>
  <c r="O33"/>
  <c r="O34"/>
  <c r="O35"/>
  <c r="O36"/>
  <c r="O37"/>
  <c r="O38"/>
  <c r="O39"/>
  <c r="O40"/>
  <c r="O41"/>
  <c r="O42"/>
  <c r="O43"/>
  <c r="O64"/>
  <c r="O65"/>
  <c r="O66"/>
  <c r="O67"/>
  <c r="O68"/>
  <c r="O69"/>
  <c r="O70"/>
  <c r="O71"/>
  <c r="O72"/>
  <c r="O73"/>
  <c r="O74"/>
  <c r="O75"/>
  <c r="O76"/>
  <c r="O77"/>
  <c r="O78"/>
  <c r="O79"/>
  <c r="O80"/>
  <c r="O81"/>
  <c r="O82"/>
  <c r="O83"/>
  <c r="O84"/>
  <c r="O85"/>
  <c r="O86"/>
  <c r="O87"/>
  <c r="O88"/>
  <c r="O89"/>
  <c r="O90"/>
  <c r="O91"/>
  <c r="O92"/>
  <c r="O93"/>
  <c r="O94"/>
  <c r="O95"/>
  <c r="O96"/>
  <c r="O97"/>
  <c r="O98"/>
  <c r="O99"/>
  <c r="O100"/>
  <c r="O101"/>
  <c r="O102"/>
  <c r="O108"/>
  <c r="O109"/>
  <c r="O110"/>
  <c r="O111"/>
  <c r="O112"/>
  <c r="O113"/>
  <c r="O114"/>
  <c r="O115"/>
  <c r="O116"/>
  <c r="O117"/>
  <c r="O118"/>
  <c r="O119"/>
  <c r="O120"/>
  <c r="O121"/>
  <c r="O122"/>
  <c r="O123"/>
  <c r="O129"/>
  <c r="O130"/>
  <c r="O131"/>
  <c r="O132"/>
  <c r="O133"/>
  <c r="O134"/>
  <c r="O135"/>
  <c r="O136"/>
  <c r="O137"/>
  <c r="O138"/>
  <c r="O139"/>
  <c r="O140"/>
  <c r="O141"/>
  <c r="O142"/>
  <c r="O143"/>
  <c r="O144"/>
  <c r="O145"/>
  <c r="O146"/>
  <c r="O147"/>
  <c r="O148"/>
  <c r="O149"/>
  <c r="O150"/>
  <c r="O151"/>
  <c r="O152"/>
  <c r="O153"/>
  <c r="O154"/>
  <c r="O155"/>
  <c r="O156"/>
  <c r="O157"/>
  <c r="O158"/>
  <c r="O159"/>
  <c r="O160"/>
  <c r="O161"/>
  <c r="O162"/>
  <c r="O163"/>
  <c r="O164"/>
  <c r="O165"/>
  <c r="O166"/>
  <c r="O167"/>
  <c r="O168"/>
  <c r="O169"/>
  <c r="O170"/>
  <c r="O171"/>
  <c r="O172"/>
  <c r="O173"/>
  <c r="O174"/>
  <c r="O175"/>
  <c r="O176"/>
  <c r="O177"/>
  <c r="O178"/>
  <c r="O179"/>
  <c r="O180"/>
  <c r="O181"/>
  <c r="O187"/>
  <c r="O188"/>
  <c r="O189"/>
  <c r="O190"/>
  <c r="O191"/>
  <c r="O192"/>
  <c r="G191"/>
  <c r="K191"/>
  <c r="G192"/>
  <c r="K192"/>
  <c r="O3"/>
  <c r="O5"/>
  <c r="O6"/>
  <c r="O7"/>
  <c r="O2"/>
  <c r="G3"/>
  <c r="G5"/>
  <c r="G6"/>
  <c r="G7"/>
  <c r="G8"/>
  <c r="G9"/>
  <c r="G10"/>
  <c r="G11"/>
  <c r="G12"/>
  <c r="G13"/>
  <c r="G14"/>
  <c r="G15"/>
  <c r="G16"/>
  <c r="G17"/>
  <c r="G18"/>
  <c r="G19"/>
  <c r="G20"/>
  <c r="G21"/>
  <c r="G27"/>
  <c r="G28"/>
  <c r="G29"/>
  <c r="G30"/>
  <c r="G31"/>
  <c r="G32"/>
  <c r="G33"/>
  <c r="G34"/>
  <c r="G35"/>
  <c r="G36"/>
  <c r="G37"/>
  <c r="G38"/>
  <c r="G39"/>
  <c r="G40"/>
  <c r="G41"/>
  <c r="G42"/>
  <c r="G4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8"/>
  <c r="G109"/>
  <c r="G110"/>
  <c r="G111"/>
  <c r="G112"/>
  <c r="G113"/>
  <c r="G114"/>
  <c r="G115"/>
  <c r="G116"/>
  <c r="G117"/>
  <c r="G118"/>
  <c r="G119"/>
  <c r="G120"/>
  <c r="G121"/>
  <c r="G122"/>
  <c r="G123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172"/>
  <c r="G173"/>
  <c r="G174"/>
  <c r="G175"/>
  <c r="G176"/>
  <c r="G177"/>
  <c r="G178"/>
  <c r="G179"/>
  <c r="G180"/>
  <c r="G181"/>
  <c r="G187"/>
  <c r="G188"/>
  <c r="G189"/>
  <c r="G190"/>
  <c r="G2"/>
  <c r="K3"/>
  <c r="K5"/>
  <c r="K6"/>
  <c r="K7"/>
  <c r="K8"/>
  <c r="K9"/>
  <c r="K10"/>
  <c r="K11"/>
  <c r="K12"/>
  <c r="K13"/>
  <c r="K14"/>
  <c r="K15"/>
  <c r="K16"/>
  <c r="K17"/>
  <c r="K18"/>
  <c r="K19"/>
  <c r="K20"/>
  <c r="K21"/>
  <c r="K27"/>
  <c r="K28"/>
  <c r="K29"/>
  <c r="K30"/>
  <c r="K31"/>
  <c r="K32"/>
  <c r="K33"/>
  <c r="K34"/>
  <c r="K35"/>
  <c r="K36"/>
  <c r="K37"/>
  <c r="K38"/>
  <c r="K39"/>
  <c r="K40"/>
  <c r="K41"/>
  <c r="K42"/>
  <c r="K4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8"/>
  <c r="K109"/>
  <c r="K110"/>
  <c r="K111"/>
  <c r="K112"/>
  <c r="K113"/>
  <c r="K114"/>
  <c r="K115"/>
  <c r="K116"/>
  <c r="K117"/>
  <c r="K118"/>
  <c r="K119"/>
  <c r="K120"/>
  <c r="K121"/>
  <c r="K122"/>
  <c r="K123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7"/>
  <c r="K188"/>
  <c r="K189"/>
  <c r="K190"/>
  <c r="K2"/>
</calcChain>
</file>

<file path=xl/sharedStrings.xml><?xml version="1.0" encoding="utf-8"?>
<sst xmlns="http://schemas.openxmlformats.org/spreadsheetml/2006/main" count="3402" uniqueCount="626">
  <si>
    <t>["</t>
    <phoneticPr fontId="2" type="noConversion"/>
  </si>
  <si>
    <t>","</t>
    <phoneticPr fontId="2" type="noConversion"/>
  </si>
  <si>
    <t>coop = [</t>
    <phoneticPr fontId="2" type="noConversion"/>
  </si>
  <si>
    <t>//배경 이름</t>
    <phoneticPr fontId="2" type="noConversion"/>
  </si>
  <si>
    <t>back000000</t>
  </si>
  <si>
    <t>back010000</t>
  </si>
  <si>
    <t>back010100</t>
  </si>
  <si>
    <t>back010101</t>
  </si>
  <si>
    <t>back010201</t>
  </si>
  <si>
    <t>back010202</t>
  </si>
  <si>
    <t>back010301</t>
  </si>
  <si>
    <t>back010401</t>
  </si>
  <si>
    <t>back010501</t>
  </si>
  <si>
    <t>back010601</t>
  </si>
  <si>
    <t>back010602</t>
  </si>
  <si>
    <t>back010603</t>
  </si>
  <si>
    <t>back010701</t>
  </si>
  <si>
    <t>back010702</t>
  </si>
  <si>
    <t>back010703</t>
  </si>
  <si>
    <t>back010801</t>
  </si>
  <si>
    <t>back010802</t>
  </si>
  <si>
    <t>back020000</t>
  </si>
  <si>
    <t>back020001</t>
  </si>
  <si>
    <t>back020101</t>
  </si>
  <si>
    <t>back020102</t>
  </si>
  <si>
    <t>back020103</t>
  </si>
  <si>
    <t>back020201</t>
  </si>
  <si>
    <t>back020202</t>
  </si>
  <si>
    <t>back020301</t>
  </si>
  <si>
    <t>back020302</t>
  </si>
  <si>
    <t>back020303</t>
  </si>
  <si>
    <t>back020304</t>
  </si>
  <si>
    <t>back020401</t>
  </si>
  <si>
    <t>back020402</t>
  </si>
  <si>
    <t>back020403</t>
  </si>
  <si>
    <t>back020501</t>
  </si>
  <si>
    <t>back020502</t>
  </si>
  <si>
    <t>back020503</t>
  </si>
  <si>
    <t>back020504</t>
  </si>
  <si>
    <t>back030000</t>
  </si>
  <si>
    <t>back030101</t>
  </si>
  <si>
    <t>back030102</t>
  </si>
  <si>
    <t>back030103</t>
  </si>
  <si>
    <t>back030104</t>
  </si>
  <si>
    <t>back030105</t>
  </si>
  <si>
    <t>back030106</t>
  </si>
  <si>
    <t>back030107</t>
  </si>
  <si>
    <t>back030108</t>
  </si>
  <si>
    <t>back030109</t>
  </si>
  <si>
    <t>back030110</t>
  </si>
  <si>
    <t>back030201</t>
  </si>
  <si>
    <t>back030202</t>
  </si>
  <si>
    <t>back030203</t>
  </si>
  <si>
    <t>back030204</t>
  </si>
  <si>
    <t>back030205</t>
  </si>
  <si>
    <t>back030206</t>
  </si>
  <si>
    <t>back030207</t>
  </si>
  <si>
    <t>back030208</t>
  </si>
  <si>
    <t>back030209</t>
  </si>
  <si>
    <t>back030210</t>
  </si>
  <si>
    <t>back030211</t>
  </si>
  <si>
    <t>back030212</t>
  </si>
  <si>
    <t>back030213</t>
  </si>
  <si>
    <t>back030214</t>
  </si>
  <si>
    <t>back030301</t>
  </si>
  <si>
    <t>back030302</t>
  </si>
  <si>
    <t>back030303</t>
  </si>
  <si>
    <t>back030401</t>
  </si>
  <si>
    <t>back030501</t>
  </si>
  <si>
    <t>back030502</t>
  </si>
  <si>
    <t>back030503</t>
  </si>
  <si>
    <t>back030601</t>
  </si>
  <si>
    <t>back030701</t>
  </si>
  <si>
    <t>back030702</t>
  </si>
  <si>
    <t>back030703</t>
  </si>
  <si>
    <t>back030704</t>
  </si>
  <si>
    <t>back030705</t>
  </si>
  <si>
    <t>back030706</t>
  </si>
  <si>
    <t>back040000</t>
  </si>
  <si>
    <t>back040101</t>
  </si>
  <si>
    <t>back040201</t>
  </si>
  <si>
    <t>back040202</t>
  </si>
  <si>
    <t>back040203</t>
  </si>
  <si>
    <t>back040204</t>
  </si>
  <si>
    <t>back040205</t>
  </si>
  <si>
    <t>back040301</t>
  </si>
  <si>
    <t>back040401</t>
  </si>
  <si>
    <t>back040402</t>
  </si>
  <si>
    <t>back040403</t>
  </si>
  <si>
    <t>back040501</t>
  </si>
  <si>
    <t>back040502</t>
  </si>
  <si>
    <t>back040503</t>
  </si>
  <si>
    <t>back040504</t>
  </si>
  <si>
    <t>back040601</t>
  </si>
  <si>
    <t>back050000</t>
  </si>
  <si>
    <t>back050101</t>
  </si>
  <si>
    <t>back050102</t>
  </si>
  <si>
    <t>back050103</t>
  </si>
  <si>
    <t>back050104</t>
  </si>
  <si>
    <t>back050105</t>
  </si>
  <si>
    <t>back050106</t>
  </si>
  <si>
    <t>back050201</t>
  </si>
  <si>
    <t>back050202</t>
  </si>
  <si>
    <t>back050203</t>
  </si>
  <si>
    <t>back050204</t>
  </si>
  <si>
    <t>back050205</t>
  </si>
  <si>
    <t>back050206</t>
  </si>
  <si>
    <t>back050207</t>
  </si>
  <si>
    <t>back050301</t>
  </si>
  <si>
    <t>back050302</t>
  </si>
  <si>
    <t>back050303</t>
  </si>
  <si>
    <t>back050304</t>
  </si>
  <si>
    <t>back050305</t>
  </si>
  <si>
    <t>back050307</t>
  </si>
  <si>
    <t>back050401</t>
  </si>
  <si>
    <t>back050403</t>
  </si>
  <si>
    <t>back050404</t>
  </si>
  <si>
    <t>back050405</t>
  </si>
  <si>
    <t>back050406</t>
  </si>
  <si>
    <t>back050407</t>
  </si>
  <si>
    <t>back050501</t>
  </si>
  <si>
    <t>back050502</t>
  </si>
  <si>
    <t>back050503</t>
  </si>
  <si>
    <t>back050504</t>
  </si>
  <si>
    <t>back050505</t>
  </si>
  <si>
    <t>back050506</t>
  </si>
  <si>
    <t>back050508</t>
  </si>
  <si>
    <t>back050509</t>
  </si>
  <si>
    <t>back050602</t>
  </si>
  <si>
    <t>back050603</t>
  </si>
  <si>
    <t>back050604</t>
  </si>
  <si>
    <t>back050605</t>
  </si>
  <si>
    <t>back050606</t>
  </si>
  <si>
    <t>back050607</t>
  </si>
  <si>
    <t>back050701</t>
  </si>
  <si>
    <t>back050702</t>
  </si>
  <si>
    <t>back050703</t>
  </si>
  <si>
    <t>back050704</t>
  </si>
  <si>
    <t>back050705</t>
  </si>
  <si>
    <t>back050706</t>
  </si>
  <si>
    <t>back050801</t>
  </si>
  <si>
    <t>back050901</t>
  </si>
  <si>
    <t>back050902</t>
  </si>
  <si>
    <t>back051001</t>
  </si>
  <si>
    <t>back051002</t>
  </si>
  <si>
    <t>back051003</t>
  </si>
  <si>
    <t>back051004</t>
  </si>
  <si>
    <t>back060000</t>
  </si>
  <si>
    <t>back060101</t>
  </si>
  <si>
    <t>back060201</t>
  </si>
  <si>
    <t>back060301</t>
  </si>
  <si>
    <t>back060302</t>
  </si>
  <si>
    <t>//보조설명</t>
    <phoneticPr fontId="2" type="noConversion"/>
  </si>
  <si>
    <t>→</t>
    <phoneticPr fontId="2" type="noConversion"/>
  </si>
  <si>
    <t>//bottom(환산)</t>
    <phoneticPr fontId="2" type="noConversion"/>
  </si>
  <si>
    <t>//left(환산)</t>
    <phoneticPr fontId="2" type="noConversion"/>
  </si>
  <si>
    <t>//left(측정)</t>
    <phoneticPr fontId="2" type="noConversion"/>
  </si>
  <si>
    <t>//위치(1 : 좌측, 2 : 우측)</t>
    <phoneticPr fontId="2" type="noConversion"/>
  </si>
  <si>
    <t>//위치(환산)</t>
    <phoneticPr fontId="2" type="noConversion"/>
  </si>
  <si>
    <t>살리프</t>
    <phoneticPr fontId="2" type="noConversion"/>
  </si>
  <si>
    <t>썩은곳</t>
    <phoneticPr fontId="2" type="noConversion"/>
  </si>
  <si>
    <t>구 시가지</t>
    <phoneticPr fontId="2" type="noConversion"/>
  </si>
  <si>
    <t>절망의 체스판</t>
    <phoneticPr fontId="2" type="noConversion"/>
  </si>
  <si>
    <t>거미왕국</t>
    <phoneticPr fontId="2" type="noConversion"/>
  </si>
  <si>
    <t>영웅의 지하무덤</t>
    <phoneticPr fontId="2" type="noConversion"/>
  </si>
  <si>
    <t>　(안젤리나 루트)</t>
    <phoneticPr fontId="2" type="noConversion"/>
  </si>
  <si>
    <t>　(니콜라스 루트)</t>
    <phoneticPr fontId="2" type="noConversion"/>
  </si>
  <si>
    <t>폭군왕의 제단</t>
    <phoneticPr fontId="2" type="noConversion"/>
  </si>
  <si>
    <t>황금굴</t>
    <phoneticPr fontId="2" type="noConversion"/>
  </si>
  <si>
    <t>태고의 심장부</t>
    <phoneticPr fontId="2" type="noConversion"/>
  </si>
  <si>
    <t>황금왕의 비밀동굴</t>
    <phoneticPr fontId="2" type="noConversion"/>
  </si>
  <si>
    <t>노이어페라</t>
    <phoneticPr fontId="2" type="noConversion"/>
  </si>
  <si>
    <t>상어 서식지</t>
    <phoneticPr fontId="2" type="noConversion"/>
  </si>
  <si>
    <t>굴욕의 암초</t>
    <phoneticPr fontId="2" type="noConversion"/>
  </si>
  <si>
    <t>GBL교 여신전</t>
    <phoneticPr fontId="2" type="noConversion"/>
  </si>
  <si>
    <t>덴드로이드 번식지</t>
    <phoneticPr fontId="2" type="noConversion"/>
  </si>
  <si>
    <t>로터스의 둥지</t>
    <phoneticPr fontId="2" type="noConversion"/>
  </si>
  <si>
    <t>광란의 추종자</t>
    <phoneticPr fontId="2" type="noConversion"/>
  </si>
  <si>
    <t>T03 - 언더풋 - 아니스</t>
    <phoneticPr fontId="2" type="noConversion"/>
  </si>
  <si>
    <t>T03 - 언더풋 - 샤란</t>
    <phoneticPr fontId="2" type="noConversion"/>
  </si>
  <si>
    <t>T02 - 시궁창 - 스카디</t>
    <phoneticPr fontId="2" type="noConversion"/>
  </si>
  <si>
    <t>T00 - 세리아방</t>
    <phoneticPr fontId="2" type="noConversion"/>
  </si>
  <si>
    <t>버섯정원</t>
    <phoneticPr fontId="2" type="noConversion"/>
  </si>
  <si>
    <t>가시정원</t>
    <phoneticPr fontId="2" type="noConversion"/>
  </si>
  <si>
    <t>독사의 둥지</t>
    <phoneticPr fontId="2" type="noConversion"/>
  </si>
  <si>
    <t>겐트 외각</t>
    <phoneticPr fontId="2" type="noConversion"/>
  </si>
  <si>
    <t>겐트 동문</t>
    <phoneticPr fontId="2" type="noConversion"/>
  </si>
  <si>
    <t>겐트 남문</t>
    <phoneticPr fontId="2" type="noConversion"/>
  </si>
  <si>
    <t>타락한 신전</t>
    <phoneticPr fontId="2" type="noConversion"/>
  </si>
  <si>
    <t>오염지역 (오르카)</t>
    <phoneticPr fontId="2" type="noConversion"/>
  </si>
  <si>
    <t>검은 설산</t>
    <phoneticPr fontId="2" type="noConversion"/>
  </si>
  <si>
    <t>　(안젤리나)</t>
    <phoneticPr fontId="2" type="noConversion"/>
  </si>
  <si>
    <t>　(니콜라스)</t>
    <phoneticPr fontId="2" type="noConversion"/>
  </si>
  <si>
    <t>　(7)</t>
    <phoneticPr fontId="2" type="noConversion"/>
  </si>
  <si>
    <t>　(6)</t>
    <phoneticPr fontId="2" type="noConversion"/>
  </si>
  <si>
    <t>　(5)</t>
    <phoneticPr fontId="2" type="noConversion"/>
  </si>
  <si>
    <t>　(4)</t>
    <phoneticPr fontId="2" type="noConversion"/>
  </si>
  <si>
    <t>　(3)</t>
    <phoneticPr fontId="2" type="noConversion"/>
  </si>
  <si>
    <t>　(2)</t>
    <phoneticPr fontId="2" type="noConversion"/>
  </si>
  <si>
    <t>　(1)</t>
    <phoneticPr fontId="2" type="noConversion"/>
  </si>
  <si>
    <t>　(근원의 씨앗)</t>
    <phoneticPr fontId="2" type="noConversion"/>
  </si>
  <si>
    <t>　(악몽)</t>
    <phoneticPr fontId="2" type="noConversion"/>
  </si>
  <si>
    <t>　(미쉘2)</t>
    <phoneticPr fontId="2" type="noConversion"/>
  </si>
  <si>
    <t>　(사영)</t>
    <phoneticPr fontId="2" type="noConversion"/>
  </si>
  <si>
    <t>//top(기준점 사용)</t>
    <phoneticPr fontId="2" type="noConversion"/>
  </si>
  <si>
    <t>　(악몽)</t>
    <phoneticPr fontId="2" type="noConversion"/>
  </si>
  <si>
    <t>　(시란)</t>
    <phoneticPr fontId="2" type="noConversion"/>
  </si>
  <si>
    <t>　(브왕가)</t>
    <phoneticPr fontId="2" type="noConversion"/>
  </si>
  <si>
    <t>심층 (영몽)</t>
    <phoneticPr fontId="2" type="noConversion"/>
  </si>
  <si>
    <t>　(아간조)</t>
    <phoneticPr fontId="2" type="noConversion"/>
  </si>
  <si>
    <t>끝없는 악몽</t>
    <phoneticPr fontId="2" type="noConversion"/>
  </si>
  <si>
    <t>　(이사도라)</t>
    <phoneticPr fontId="2" type="noConversion"/>
  </si>
  <si>
    <t>　(반젤리스)</t>
    <phoneticPr fontId="2" type="noConversion"/>
  </si>
  <si>
    <t>서리 동굴</t>
    <phoneticPr fontId="2" type="noConversion"/>
  </si>
  <si>
    <t>빌마르크 제국 실험장</t>
    <phoneticPr fontId="2" type="noConversion"/>
  </si>
  <si>
    <t>사룡의 봉인</t>
    <phoneticPr fontId="2" type="noConversion"/>
  </si>
  <si>
    <t>　(레이드)</t>
    <phoneticPr fontId="2" type="noConversion"/>
  </si>
  <si>
    <t>back060401</t>
    <phoneticPr fontId="2" type="noConversion"/>
  </si>
  <si>
    <t>back060402</t>
    <phoneticPr fontId="2" type="noConversion"/>
  </si>
  <si>
    <t>겐트 북문</t>
    <phoneticPr fontId="2" type="noConversion"/>
  </si>
  <si>
    <t>back060501</t>
    <phoneticPr fontId="2" type="noConversion"/>
  </si>
  <si>
    <t>back060502</t>
    <phoneticPr fontId="2" type="noConversion"/>
  </si>
  <si>
    <t>back060503</t>
    <phoneticPr fontId="2" type="noConversion"/>
  </si>
  <si>
    <t>back060504</t>
    <phoneticPr fontId="2" type="noConversion"/>
  </si>
  <si>
    <t>back060505</t>
    <phoneticPr fontId="2" type="noConversion"/>
  </si>
  <si>
    <t>back060506</t>
    <phoneticPr fontId="2" type="noConversion"/>
  </si>
  <si>
    <t>겐트 방어전 (포1)</t>
    <phoneticPr fontId="2" type="noConversion"/>
  </si>
  <si>
    <t>　(포2)</t>
    <phoneticPr fontId="2" type="noConversion"/>
  </si>
  <si>
    <t>　(GT-Proto)</t>
    <phoneticPr fontId="2" type="noConversion"/>
  </si>
  <si>
    <t>　(황도군)</t>
    <phoneticPr fontId="2" type="noConversion"/>
  </si>
  <si>
    <t>　(레베카)</t>
    <phoneticPr fontId="2" type="noConversion"/>
  </si>
  <si>
    <t>　(바빌론)</t>
    <phoneticPr fontId="2" type="noConversion"/>
  </si>
  <si>
    <t>back060601</t>
    <phoneticPr fontId="2" type="noConversion"/>
  </si>
  <si>
    <t>back060701</t>
    <phoneticPr fontId="2" type="noConversion"/>
  </si>
  <si>
    <t>back060702</t>
    <phoneticPr fontId="2" type="noConversion"/>
  </si>
  <si>
    <t>back060703</t>
  </si>
  <si>
    <t>back060704</t>
  </si>
  <si>
    <t>back060705</t>
  </si>
  <si>
    <t>야간 습격전</t>
    <phoneticPr fontId="2" type="noConversion"/>
  </si>
  <si>
    <t>　(베릭트)</t>
    <phoneticPr fontId="2" type="noConversion"/>
  </si>
  <si>
    <t>　(얼티메이텀)</t>
    <phoneticPr fontId="2" type="noConversion"/>
  </si>
  <si>
    <t>보급로 차단전 (입키스)</t>
    <phoneticPr fontId="2" type="noConversion"/>
  </si>
  <si>
    <t>　(구스토)</t>
    <phoneticPr fontId="2" type="noConversion"/>
  </si>
  <si>
    <t>　(메이윈)</t>
    <phoneticPr fontId="2" type="noConversion"/>
  </si>
  <si>
    <t>back060602</t>
    <phoneticPr fontId="2" type="noConversion"/>
  </si>
  <si>
    <t>back060801</t>
    <phoneticPr fontId="2" type="noConversion"/>
  </si>
  <si>
    <t>back060802</t>
    <phoneticPr fontId="2" type="noConversion"/>
  </si>
  <si>
    <t>back060803</t>
  </si>
  <si>
    <t>back060804</t>
  </si>
  <si>
    <t>back060805</t>
  </si>
  <si>
    <t>back060806</t>
  </si>
  <si>
    <t>back060807</t>
  </si>
  <si>
    <t>back060808</t>
  </si>
  <si>
    <t>back060809</t>
  </si>
  <si>
    <t>back060810</t>
  </si>
  <si>
    <t>back060811</t>
  </si>
  <si>
    <t>back060812</t>
  </si>
  <si>
    <t>back060813</t>
  </si>
  <si>
    <t>back060814</t>
  </si>
  <si>
    <t>추격 섬멸전 (니베르)</t>
    <phoneticPr fontId="2" type="noConversion"/>
  </si>
  <si>
    <t>　(콘)</t>
    <phoneticPr fontId="2" type="noConversion"/>
  </si>
  <si>
    <t>　(비연)</t>
    <phoneticPr fontId="2" type="noConversion"/>
  </si>
  <si>
    <t>　(니베르)</t>
    <phoneticPr fontId="2" type="noConversion"/>
  </si>
  <si>
    <t>　(콘2)</t>
    <phoneticPr fontId="2" type="noConversion"/>
  </si>
  <si>
    <t>　(비연2)</t>
    <phoneticPr fontId="2" type="noConversion"/>
  </si>
  <si>
    <t>　(라크)</t>
    <phoneticPr fontId="2" type="noConversion"/>
  </si>
  <si>
    <t>　(배신라크)</t>
    <phoneticPr fontId="2" type="noConversion"/>
  </si>
  <si>
    <t>　(무명)</t>
    <phoneticPr fontId="2" type="noConversion"/>
  </si>
  <si>
    <t>　(배신라크2)</t>
    <phoneticPr fontId="2" type="noConversion"/>
  </si>
  <si>
    <t>　(배신라크3)</t>
    <phoneticPr fontId="2" type="noConversion"/>
  </si>
  <si>
    <t>　(지젤)</t>
    <phoneticPr fontId="2" type="noConversion"/>
  </si>
  <si>
    <t>　(반)</t>
    <phoneticPr fontId="2" type="noConversion"/>
  </si>
  <si>
    <t>　(황도군)</t>
    <phoneticPr fontId="2" type="noConversion"/>
  </si>
  <si>
    <t>back060001</t>
    <phoneticPr fontId="2" type="noConversion"/>
  </si>
  <si>
    <t>back060002</t>
    <phoneticPr fontId="2" type="noConversion"/>
  </si>
  <si>
    <t>back060003</t>
    <phoneticPr fontId="2" type="noConversion"/>
  </si>
  <si>
    <t>back060004</t>
    <phoneticPr fontId="2" type="noConversion"/>
  </si>
  <si>
    <t>T06 - 겐트 - 반 or 일반</t>
    <phoneticPr fontId="2" type="noConversion"/>
  </si>
  <si>
    <t>T06 - 겐트 - 마를렌</t>
    <phoneticPr fontId="2" type="noConversion"/>
  </si>
  <si>
    <t>T06 - 겐트 - 젤딘</t>
    <phoneticPr fontId="2" type="noConversion"/>
  </si>
  <si>
    <t>T06 - 겐트 - 베릭트</t>
    <phoneticPr fontId="2" type="noConversion"/>
  </si>
  <si>
    <t>T06 - 겐트 - 멜빈</t>
    <phoneticPr fontId="2" type="noConversion"/>
  </si>
  <si>
    <t>back070000</t>
    <phoneticPr fontId="2" type="noConversion"/>
  </si>
  <si>
    <t>back070001</t>
    <phoneticPr fontId="2" type="noConversion"/>
  </si>
  <si>
    <t>back070101</t>
    <phoneticPr fontId="2" type="noConversion"/>
  </si>
  <si>
    <t>back070102</t>
    <phoneticPr fontId="2" type="noConversion"/>
  </si>
  <si>
    <t>back070201</t>
    <phoneticPr fontId="2" type="noConversion"/>
  </si>
  <si>
    <t>back070202</t>
    <phoneticPr fontId="2" type="noConversion"/>
  </si>
  <si>
    <t>back070203</t>
    <phoneticPr fontId="2" type="noConversion"/>
  </si>
  <si>
    <t>back070204</t>
    <phoneticPr fontId="2" type="noConversion"/>
  </si>
  <si>
    <t>열차 위의 해적 (무삼바니)</t>
    <phoneticPr fontId="2" type="noConversion"/>
  </si>
  <si>
    <t>　(콩콩이)</t>
    <phoneticPr fontId="2" type="noConversion"/>
  </si>
  <si>
    <t>서부선 탈환 (카르텔)</t>
    <phoneticPr fontId="2" type="noConversion"/>
  </si>
  <si>
    <t>　(운1)</t>
    <phoneticPr fontId="2" type="noConversion"/>
  </si>
  <si>
    <t>　(운2)</t>
    <phoneticPr fontId="2" type="noConversion"/>
  </si>
  <si>
    <t>　(운3)</t>
    <phoneticPr fontId="2" type="noConversion"/>
  </si>
  <si>
    <t>back070303</t>
    <phoneticPr fontId="2" type="noConversion"/>
  </si>
  <si>
    <t>back070304</t>
    <phoneticPr fontId="2" type="noConversion"/>
  </si>
  <si>
    <t>back070305</t>
  </si>
  <si>
    <t>back070306</t>
  </si>
  <si>
    <t>back070307</t>
  </si>
  <si>
    <t>back070308</t>
  </si>
  <si>
    <t>안개도시 헤이즈 (즈죠)</t>
    <phoneticPr fontId="2" type="noConversion"/>
  </si>
  <si>
    <t>　(페요)</t>
    <phoneticPr fontId="2" type="noConversion"/>
  </si>
  <si>
    <t>　(저격)</t>
    <phoneticPr fontId="2" type="noConversion"/>
  </si>
  <si>
    <t>　(닐스)</t>
    <phoneticPr fontId="2" type="noConversion"/>
  </si>
  <si>
    <t>　(닐스 &amp; 저격)</t>
    <phoneticPr fontId="2" type="noConversion"/>
  </si>
  <si>
    <t>　(스틱 반)</t>
    <phoneticPr fontId="2" type="noConversion"/>
  </si>
  <si>
    <t>back060005</t>
    <phoneticPr fontId="2" type="noConversion"/>
  </si>
  <si>
    <t>T06 - 겐트 - 에르제</t>
    <phoneticPr fontId="2" type="noConversion"/>
  </si>
  <si>
    <t>back070401</t>
    <phoneticPr fontId="2" type="noConversion"/>
  </si>
  <si>
    <t>back070402</t>
    <phoneticPr fontId="2" type="noConversion"/>
  </si>
  <si>
    <t>back070403</t>
  </si>
  <si>
    <t>back070404</t>
  </si>
  <si>
    <t>back070405</t>
  </si>
  <si>
    <t>back070501</t>
    <phoneticPr fontId="2" type="noConversion"/>
  </si>
  <si>
    <t>back070502</t>
    <phoneticPr fontId="2" type="noConversion"/>
  </si>
  <si>
    <t>카르텔 사령부 (메이윈 1)</t>
    <phoneticPr fontId="2" type="noConversion"/>
  </si>
  <si>
    <t>　(메이윈 2)</t>
    <phoneticPr fontId="2" type="noConversion"/>
  </si>
  <si>
    <t>　(황녀 1)</t>
    <phoneticPr fontId="2" type="noConversion"/>
  </si>
  <si>
    <t>　(황녀 탈출)</t>
    <phoneticPr fontId="2" type="noConversion"/>
  </si>
  <si>
    <t>　(황녀 2)</t>
    <phoneticPr fontId="2" type="noConversion"/>
  </si>
  <si>
    <t>　(란제루스)</t>
    <phoneticPr fontId="2" type="noConversion"/>
  </si>
  <si>
    <t>결전의 도시 아르덴 (하스)</t>
    <phoneticPr fontId="2" type="noConversion"/>
  </si>
  <si>
    <t>　(하스2)</t>
    <phoneticPr fontId="2" type="noConversion"/>
  </si>
  <si>
    <t>　(네임드 1)</t>
    <phoneticPr fontId="2" type="noConversion"/>
  </si>
  <si>
    <t>　(네임드 2)</t>
    <phoneticPr fontId="2" type="noConversion"/>
  </si>
  <si>
    <t>　(엔조 시포)</t>
    <phoneticPr fontId="2" type="noConversion"/>
  </si>
  <si>
    <t>back070503</t>
    <phoneticPr fontId="2" type="noConversion"/>
  </si>
  <si>
    <t>back070504</t>
    <phoneticPr fontId="2" type="noConversion"/>
  </si>
  <si>
    <t>back070505</t>
    <phoneticPr fontId="2" type="noConversion"/>
  </si>
  <si>
    <t>back070506</t>
    <phoneticPr fontId="2" type="noConversion"/>
  </si>
  <si>
    <t>back070507</t>
    <phoneticPr fontId="2" type="noConversion"/>
  </si>
  <si>
    <t>　(진격)</t>
    <phoneticPr fontId="2" type="noConversion"/>
  </si>
  <si>
    <t>back070601</t>
    <phoneticPr fontId="2" type="noConversion"/>
  </si>
  <si>
    <t>back070701</t>
    <phoneticPr fontId="2" type="noConversion"/>
  </si>
  <si>
    <t>back070702</t>
    <phoneticPr fontId="2" type="noConversion"/>
  </si>
  <si>
    <t>back070703</t>
  </si>
  <si>
    <t>back070704</t>
  </si>
  <si>
    <t>back070705</t>
  </si>
  <si>
    <t>back070706</t>
  </si>
  <si>
    <t>back080000</t>
    <phoneticPr fontId="2" type="noConversion"/>
  </si>
  <si>
    <t>back080001</t>
    <phoneticPr fontId="2" type="noConversion"/>
  </si>
  <si>
    <t>back080002</t>
    <phoneticPr fontId="2" type="noConversion"/>
  </si>
  <si>
    <t>back080102</t>
    <phoneticPr fontId="2" type="noConversion"/>
  </si>
  <si>
    <t>T07 - 루프트 하펜 - 베른</t>
    <phoneticPr fontId="2" type="noConversion"/>
  </si>
  <si>
    <t>T07 - 루프트 하펜 - 초롱이</t>
    <phoneticPr fontId="2" type="noConversion"/>
  </si>
  <si>
    <t>T08 - 쇼난 - 우</t>
    <phoneticPr fontId="2" type="noConversion"/>
  </si>
  <si>
    <t>T08 - 쇼난 - 시란</t>
    <phoneticPr fontId="2" type="noConversion"/>
  </si>
  <si>
    <t>T08 - 쇼난 - 아스카</t>
    <phoneticPr fontId="2" type="noConversion"/>
  </si>
  <si>
    <t>추적! 특급열차</t>
    <phoneticPr fontId="2" type="noConversion"/>
  </si>
  <si>
    <t>고통의 마을 레쉬폰 (입장)</t>
    <phoneticPr fontId="2" type="noConversion"/>
  </si>
  <si>
    <t>시간의 문 - 인트로 (시란)</t>
    <phoneticPr fontId="2" type="noConversion"/>
  </si>
  <si>
    <t>　(디레지에)</t>
    <phoneticPr fontId="2" type="noConversion"/>
  </si>
  <si>
    <t>　(디레지에)</t>
    <phoneticPr fontId="2" type="noConversion"/>
  </si>
  <si>
    <t>　(차원의 틈)</t>
    <phoneticPr fontId="2" type="noConversion"/>
  </si>
  <si>
    <t>　(흉터)</t>
    <phoneticPr fontId="2" type="noConversion"/>
  </si>
  <si>
    <t>　(공작 유리스)</t>
    <phoneticPr fontId="2" type="noConversion"/>
  </si>
  <si>
    <t>back020002</t>
    <phoneticPr fontId="2" type="noConversion"/>
  </si>
  <si>
    <t>back080201</t>
    <phoneticPr fontId="2" type="noConversion"/>
  </si>
  <si>
    <t>back080203</t>
    <phoneticPr fontId="2" type="noConversion"/>
  </si>
  <si>
    <t>back080204</t>
    <phoneticPr fontId="2" type="noConversion"/>
  </si>
  <si>
    <t>back080205</t>
    <phoneticPr fontId="2" type="noConversion"/>
  </si>
  <si>
    <t>back080206</t>
    <phoneticPr fontId="2" type="noConversion"/>
  </si>
  <si>
    <t>back080207</t>
    <phoneticPr fontId="2" type="noConversion"/>
  </si>
  <si>
    <t>back080208</t>
    <phoneticPr fontId="2" type="noConversion"/>
  </si>
  <si>
    <t>대화재 (요정 소녀)</t>
    <phoneticPr fontId="2" type="noConversion"/>
  </si>
  <si>
    <t>　(수왕)</t>
    <phoneticPr fontId="2" type="noConversion"/>
  </si>
  <si>
    <t>　(흑막)</t>
    <phoneticPr fontId="2" type="noConversion"/>
  </si>
  <si>
    <t>　(요정소녀)</t>
    <phoneticPr fontId="2" type="noConversion"/>
  </si>
  <si>
    <t>　(결의)</t>
    <phoneticPr fontId="2" type="noConversion"/>
  </si>
  <si>
    <t>　(to 세리아)</t>
    <phoneticPr fontId="2" type="noConversion"/>
  </si>
  <si>
    <t>T01 - 실버크라운 - 비탈라</t>
    <phoneticPr fontId="2" type="noConversion"/>
  </si>
  <si>
    <t>T01 - 실버크라운 - 모건</t>
    <phoneticPr fontId="2" type="noConversion"/>
  </si>
  <si>
    <t>back020003</t>
    <phoneticPr fontId="2" type="noConversion"/>
  </si>
  <si>
    <t>back020004</t>
    <phoneticPr fontId="2" type="noConversion"/>
  </si>
  <si>
    <t>back020005</t>
    <phoneticPr fontId="2" type="noConversion"/>
  </si>
  <si>
    <t>back020006</t>
    <phoneticPr fontId="2" type="noConversion"/>
  </si>
  <si>
    <t>T02 - 시궁창 - 패리스</t>
    <phoneticPr fontId="2" type="noConversion"/>
  </si>
  <si>
    <t>T02 - 시궁창 - 알베르트</t>
    <phoneticPr fontId="2" type="noConversion"/>
  </si>
  <si>
    <t>T02 - 시궁창 - 샤일록</t>
    <phoneticPr fontId="2" type="noConversion"/>
  </si>
  <si>
    <t>T02 - 시궁창 - 하츠</t>
    <phoneticPr fontId="2" type="noConversion"/>
  </si>
  <si>
    <t>T02 - 시궁창 - 슈시아</t>
    <phoneticPr fontId="2" type="noConversion"/>
  </si>
  <si>
    <t>T02 - 시궁창 - 로엘</t>
    <phoneticPr fontId="2" type="noConversion"/>
  </si>
  <si>
    <t>back030001</t>
    <phoneticPr fontId="2" type="noConversion"/>
  </si>
  <si>
    <t>back030002</t>
    <phoneticPr fontId="2" type="noConversion"/>
  </si>
  <si>
    <t>back030003</t>
    <phoneticPr fontId="2" type="noConversion"/>
  </si>
  <si>
    <t>back030004</t>
    <phoneticPr fontId="2" type="noConversion"/>
  </si>
  <si>
    <t>back030005</t>
    <phoneticPr fontId="2" type="noConversion"/>
  </si>
  <si>
    <t>back030006</t>
    <phoneticPr fontId="2" type="noConversion"/>
  </si>
  <si>
    <t>back030007</t>
    <phoneticPr fontId="2" type="noConversion"/>
  </si>
  <si>
    <t>back030008</t>
    <phoneticPr fontId="2" type="noConversion"/>
  </si>
  <si>
    <t>back030009</t>
    <phoneticPr fontId="2" type="noConversion"/>
  </si>
  <si>
    <t>back030010</t>
    <phoneticPr fontId="2" type="noConversion"/>
  </si>
  <si>
    <t>back030020</t>
    <phoneticPr fontId="2" type="noConversion"/>
  </si>
  <si>
    <t>T03 - 언더풋 - 클론터</t>
    <phoneticPr fontId="2" type="noConversion"/>
  </si>
  <si>
    <t>back030011</t>
    <phoneticPr fontId="2" type="noConversion"/>
  </si>
  <si>
    <t>T03 - 언더풋 - 샤프론</t>
    <phoneticPr fontId="2" type="noConversion"/>
  </si>
  <si>
    <t>T03 - 언더풋 - 메이아</t>
    <phoneticPr fontId="2" type="noConversion"/>
  </si>
  <si>
    <t>T03 - 언더풋 - 아이리스</t>
    <phoneticPr fontId="2" type="noConversion"/>
  </si>
  <si>
    <t>T03 - 언더풋 - 하츠</t>
    <phoneticPr fontId="2" type="noConversion"/>
  </si>
  <si>
    <t>T03 - 언더풋 - 반</t>
    <phoneticPr fontId="2" type="noConversion"/>
  </si>
  <si>
    <t>T03 - 언더풋 - 미네트</t>
    <phoneticPr fontId="2" type="noConversion"/>
  </si>
  <si>
    <t>T03 - 언더풋 - 루드밀라</t>
    <phoneticPr fontId="2" type="noConversion"/>
  </si>
  <si>
    <t>T03 - 언더풋 - 마를렌</t>
    <phoneticPr fontId="2" type="noConversion"/>
  </si>
  <si>
    <t>T03 - 언더풋 - 우</t>
    <phoneticPr fontId="2" type="noConversion"/>
  </si>
  <si>
    <t>back040001</t>
    <phoneticPr fontId="2" type="noConversion"/>
  </si>
  <si>
    <t>back040002</t>
    <phoneticPr fontId="2" type="noConversion"/>
  </si>
  <si>
    <t>back040003</t>
    <phoneticPr fontId="2" type="noConversion"/>
  </si>
  <si>
    <t>back040004</t>
    <phoneticPr fontId="2" type="noConversion"/>
  </si>
  <si>
    <t>back040005</t>
    <phoneticPr fontId="2" type="noConversion"/>
  </si>
  <si>
    <t>T04 - 베히모스 - 오필리아</t>
    <phoneticPr fontId="2" type="noConversion"/>
  </si>
  <si>
    <t>T04 - 베히모스 - 반젤리스</t>
    <phoneticPr fontId="2" type="noConversion"/>
  </si>
  <si>
    <t>T04 - 베히모스 - 이사도라</t>
    <phoneticPr fontId="2" type="noConversion"/>
  </si>
  <si>
    <t>T04 - 베히모스 - 카곤</t>
    <phoneticPr fontId="2" type="noConversion"/>
  </si>
  <si>
    <t>T04 - 베히모스 - 반</t>
    <phoneticPr fontId="2" type="noConversion"/>
  </si>
  <si>
    <t>T04 - 베히모스 - 아간조</t>
    <phoneticPr fontId="2" type="noConversion"/>
  </si>
  <si>
    <t>back050001</t>
    <phoneticPr fontId="2" type="noConversion"/>
  </si>
  <si>
    <t>back050002</t>
    <phoneticPr fontId="2" type="noConversion"/>
  </si>
  <si>
    <t>back050003</t>
    <phoneticPr fontId="2" type="noConversion"/>
  </si>
  <si>
    <t>back050004</t>
    <phoneticPr fontId="2" type="noConversion"/>
  </si>
  <si>
    <t>back050005</t>
    <phoneticPr fontId="2" type="noConversion"/>
  </si>
  <si>
    <t>T05 - 북의 쉼터 - 미쉘</t>
    <phoneticPr fontId="2" type="noConversion"/>
  </si>
  <si>
    <t>T05 - 북의 쉼터 - 민타이</t>
    <phoneticPr fontId="2" type="noConversion"/>
  </si>
  <si>
    <t>T05 - 북의 쉼터 - 아간조</t>
    <phoneticPr fontId="2" type="noConversion"/>
  </si>
  <si>
    <t>T05 - 북의 쉼터 - 루터</t>
    <phoneticPr fontId="2" type="noConversion"/>
  </si>
  <si>
    <t>T05 - 북의 쉼터 - 브왕가</t>
    <phoneticPr fontId="2" type="noConversion"/>
  </si>
  <si>
    <t>T05 - 북의 쉼터 - 발레나</t>
    <phoneticPr fontId="2" type="noConversion"/>
  </si>
  <si>
    <t>back010001</t>
    <phoneticPr fontId="2" type="noConversion"/>
  </si>
  <si>
    <t>back030012</t>
    <phoneticPr fontId="2" type="noConversion"/>
  </si>
  <si>
    <t>T03 - 언더풋 - 칸나</t>
    <phoneticPr fontId="2" type="noConversion"/>
  </si>
  <si>
    <t>back080301</t>
    <phoneticPr fontId="2" type="noConversion"/>
  </si>
  <si>
    <t>back080302</t>
    <phoneticPr fontId="2" type="noConversion"/>
  </si>
  <si>
    <t>back080303</t>
    <phoneticPr fontId="2" type="noConversion"/>
  </si>
  <si>
    <t>전염병 (민병대장)</t>
    <phoneticPr fontId="2" type="noConversion"/>
  </si>
  <si>
    <t>　(흑막 1)</t>
    <phoneticPr fontId="2" type="noConversion"/>
  </si>
  <si>
    <t>　(흑막 2)</t>
    <phoneticPr fontId="2" type="noConversion"/>
  </si>
  <si>
    <t>프롤로그 (입장)</t>
    <phoneticPr fontId="2" type="noConversion"/>
  </si>
  <si>
    <t>　(세리아)</t>
    <phoneticPr fontId="2" type="noConversion"/>
  </si>
  <si>
    <t>루테온 (아간조)</t>
    <phoneticPr fontId="2" type="noConversion"/>
  </si>
  <si>
    <t>잊혀진 숲 (입장)</t>
    <phoneticPr fontId="2" type="noConversion"/>
  </si>
  <si>
    <t>　(보스)</t>
    <phoneticPr fontId="2" type="noConversion"/>
  </si>
  <si>
    <t>프로즌 루테온 (보스)</t>
    <phoneticPr fontId="2" type="noConversion"/>
  </si>
  <si>
    <t>글래스페이 (보스)</t>
    <phoneticPr fontId="2" type="noConversion"/>
  </si>
  <si>
    <t>혼탁한 글래스페이 (보스)</t>
    <phoneticPr fontId="2" type="noConversion"/>
  </si>
  <si>
    <t>링우드 형무소 (패리스)</t>
    <phoneticPr fontId="2" type="noConversion"/>
  </si>
  <si>
    <t>　(보스+패리스)</t>
    <phoneticPr fontId="2" type="noConversion"/>
  </si>
  <si>
    <t>링우드 지하형무소 (델마)</t>
    <phoneticPr fontId="2" type="noConversion"/>
  </si>
  <si>
    <t>　(입장)</t>
    <phoneticPr fontId="2" type="noConversion"/>
  </si>
  <si>
    <t>"],//</t>
    <phoneticPr fontId="2" type="noConversion"/>
  </si>
  <si>
    <t>back080401</t>
    <phoneticPr fontId="2" type="noConversion"/>
  </si>
  <si>
    <t>back080403</t>
    <phoneticPr fontId="2" type="noConversion"/>
  </si>
  <si>
    <t>back080404</t>
    <phoneticPr fontId="2" type="noConversion"/>
  </si>
  <si>
    <t>back080405</t>
    <phoneticPr fontId="2" type="noConversion"/>
  </si>
  <si>
    <t>결성! 카르텔 (콩콩이)</t>
    <phoneticPr fontId="2" type="noConversion"/>
  </si>
  <si>
    <t>　(베릭트)</t>
    <phoneticPr fontId="2" type="noConversion"/>
  </si>
  <si>
    <t>　(염탐)</t>
    <phoneticPr fontId="2" type="noConversion"/>
  </si>
  <si>
    <t>back030013</t>
    <phoneticPr fontId="2" type="noConversion"/>
  </si>
  <si>
    <t>T03 - 언더풋 - 그란디스</t>
    <phoneticPr fontId="2" type="noConversion"/>
  </si>
  <si>
    <t>back080502</t>
    <phoneticPr fontId="2" type="noConversion"/>
  </si>
  <si>
    <t>back080503</t>
    <phoneticPr fontId="2" type="noConversion"/>
  </si>
  <si>
    <t>back080504</t>
    <phoneticPr fontId="2" type="noConversion"/>
  </si>
  <si>
    <t>back080505</t>
    <phoneticPr fontId="2" type="noConversion"/>
  </si>
  <si>
    <t>back080508</t>
    <phoneticPr fontId="2" type="noConversion"/>
  </si>
  <si>
    <t>back080509</t>
    <phoneticPr fontId="2" type="noConversion"/>
  </si>
  <si>
    <t>back080510</t>
    <phoneticPr fontId="2" type="noConversion"/>
  </si>
  <si>
    <t>back080511</t>
    <phoneticPr fontId="2" type="noConversion"/>
  </si>
  <si>
    <t>back080512</t>
    <phoneticPr fontId="2" type="noConversion"/>
  </si>
  <si>
    <t>back080513</t>
    <phoneticPr fontId="2" type="noConversion"/>
  </si>
  <si>
    <t>back080514</t>
    <phoneticPr fontId="2" type="noConversion"/>
  </si>
  <si>
    <t>back080515</t>
    <phoneticPr fontId="2" type="noConversion"/>
  </si>
  <si>
    <t>back080516</t>
    <phoneticPr fontId="2" type="noConversion"/>
  </si>
  <si>
    <t>back080517</t>
    <phoneticPr fontId="2" type="noConversion"/>
  </si>
  <si>
    <t>검은 성전 (티아매트)</t>
    <phoneticPr fontId="2" type="noConversion"/>
  </si>
  <si>
    <t>　(배리아스)</t>
    <phoneticPr fontId="2" type="noConversion"/>
  </si>
  <si>
    <t>　(샤피로 1)</t>
    <phoneticPr fontId="2" type="noConversion"/>
  </si>
  <si>
    <t>　(아스타로스 - 저주)</t>
    <phoneticPr fontId="2" type="noConversion"/>
  </si>
  <si>
    <t>　(샤피로 2)</t>
    <phoneticPr fontId="2" type="noConversion"/>
  </si>
  <si>
    <t>　(아스타로스 - 도주)</t>
    <phoneticPr fontId="2" type="noConversion"/>
  </si>
  <si>
    <t>　(닐바스 1 - 기도)</t>
    <phoneticPr fontId="2" type="noConversion"/>
  </si>
  <si>
    <t>　(닐바스 2 - 아스타로스)</t>
    <phoneticPr fontId="2" type="noConversion"/>
  </si>
  <si>
    <t>　(닐바스 3 - 뒷치기)</t>
    <phoneticPr fontId="2" type="noConversion"/>
  </si>
  <si>
    <t>　(닐바스 4 - 변신, 도주)</t>
    <phoneticPr fontId="2" type="noConversion"/>
  </si>
  <si>
    <t>　(닐바스 5 - 악마화)</t>
    <phoneticPr fontId="2" type="noConversion"/>
  </si>
  <si>
    <t>　(닐바스 6 - 해제)</t>
    <phoneticPr fontId="2" type="noConversion"/>
  </si>
  <si>
    <t>　(오즈마 1)</t>
    <phoneticPr fontId="2" type="noConversion"/>
  </si>
  <si>
    <t>　(오즈마 2)</t>
    <phoneticPr fontId="2" type="noConversion"/>
  </si>
  <si>
    <t>back030014</t>
    <phoneticPr fontId="2" type="noConversion"/>
  </si>
  <si>
    <t>T03 - 언더풋 - 단진</t>
    <phoneticPr fontId="2" type="noConversion"/>
  </si>
  <si>
    <t>back080601</t>
    <phoneticPr fontId="2" type="noConversion"/>
  </si>
  <si>
    <t>back080602</t>
    <phoneticPr fontId="2" type="noConversion"/>
  </si>
  <si>
    <t>극비구역 (아이리스)</t>
    <phoneticPr fontId="2" type="noConversion"/>
  </si>
  <si>
    <t>　(연구원)</t>
    <phoneticPr fontId="2" type="noConversion"/>
  </si>
  <si>
    <t>　(반1)</t>
    <phoneticPr fontId="2" type="noConversion"/>
  </si>
  <si>
    <t>　(반2)</t>
    <phoneticPr fontId="2" type="noConversion"/>
  </si>
  <si>
    <t>　(소녀)</t>
    <phoneticPr fontId="2" type="noConversion"/>
  </si>
  <si>
    <t>back080603</t>
    <phoneticPr fontId="2" type="noConversion"/>
  </si>
  <si>
    <t>back080604</t>
    <phoneticPr fontId="2" type="noConversion"/>
  </si>
  <si>
    <t>back080605</t>
    <phoneticPr fontId="2" type="noConversion"/>
  </si>
  <si>
    <t>back080701</t>
    <phoneticPr fontId="2" type="noConversion"/>
  </si>
  <si>
    <t>back080702</t>
    <phoneticPr fontId="2" type="noConversion"/>
  </si>
  <si>
    <t>back080703</t>
    <phoneticPr fontId="2" type="noConversion"/>
  </si>
  <si>
    <t>back080801</t>
    <phoneticPr fontId="2" type="noConversion"/>
  </si>
  <si>
    <t>back080802</t>
    <phoneticPr fontId="2" type="noConversion"/>
  </si>
  <si>
    <t>back080803</t>
    <phoneticPr fontId="2" type="noConversion"/>
  </si>
  <si>
    <t>옛비명굴 (아간조)</t>
    <phoneticPr fontId="2" type="noConversion"/>
  </si>
  <si>
    <t>　(아간조2)</t>
    <phoneticPr fontId="2" type="noConversion"/>
  </si>
  <si>
    <t>　(케인)</t>
    <phoneticPr fontId="2" type="noConversion"/>
  </si>
  <si>
    <t>태동 (스카사)</t>
    <phoneticPr fontId="2" type="noConversion"/>
  </si>
  <si>
    <t>　(바칼1)</t>
    <phoneticPr fontId="2" type="noConversion"/>
  </si>
  <si>
    <t>　(바칼2)</t>
    <phoneticPr fontId="2" type="noConversion"/>
  </si>
  <si>
    <t>T03 - 언더풋 - 게시판 or 혼자</t>
    <phoneticPr fontId="2" type="noConversion"/>
  </si>
  <si>
    <t>back080901</t>
    <phoneticPr fontId="2" type="noConversion"/>
  </si>
  <si>
    <t>back080903</t>
    <phoneticPr fontId="2" type="noConversion"/>
  </si>
  <si>
    <t>back080904</t>
    <phoneticPr fontId="2" type="noConversion"/>
  </si>
  <si>
    <t>back080906</t>
    <phoneticPr fontId="2" type="noConversion"/>
  </si>
  <si>
    <t>back080907</t>
    <phoneticPr fontId="2" type="noConversion"/>
  </si>
  <si>
    <t>자각 (시란)</t>
    <phoneticPr fontId="2" type="noConversion"/>
  </si>
  <si>
    <t>　(시란)</t>
    <phoneticPr fontId="2" type="noConversion"/>
  </si>
  <si>
    <t>　(아이리스 다운)</t>
    <phoneticPr fontId="2" type="noConversion"/>
  </si>
  <si>
    <t>　(with 세리아)</t>
    <phoneticPr fontId="2" type="noConversion"/>
  </si>
  <si>
    <t>　(아직 아이리스?)</t>
    <phoneticPr fontId="2" type="noConversion"/>
  </si>
  <si>
    <t>back081001</t>
    <phoneticPr fontId="2" type="noConversion"/>
  </si>
  <si>
    <t>타임브레이크 (길잃은 전사)</t>
    <phoneticPr fontId="2" type="noConversion"/>
  </si>
  <si>
    <t>back090000</t>
    <phoneticPr fontId="2" type="noConversion"/>
  </si>
  <si>
    <t>back090001</t>
    <phoneticPr fontId="2" type="noConversion"/>
  </si>
  <si>
    <t>back090002</t>
    <phoneticPr fontId="2" type="noConversion"/>
  </si>
  <si>
    <t>back090003</t>
    <phoneticPr fontId="2" type="noConversion"/>
  </si>
  <si>
    <t>back090004</t>
    <phoneticPr fontId="2" type="noConversion"/>
  </si>
  <si>
    <t>T09 - 슬라우 - 리아</t>
    <phoneticPr fontId="2" type="noConversion"/>
  </si>
  <si>
    <t>T09 - 슬라우 - 니베르</t>
    <phoneticPr fontId="2" type="noConversion"/>
  </si>
  <si>
    <t>T09 - 슬라우 - 페럴 웨인</t>
    <phoneticPr fontId="2" type="noConversion"/>
  </si>
  <si>
    <t>T09 - 슬라우 - 마티어스</t>
    <phoneticPr fontId="2" type="noConversion"/>
  </si>
  <si>
    <t>T09 - 슬라우 - (영상) 멜빈</t>
    <phoneticPr fontId="2" type="noConversion"/>
  </si>
  <si>
    <t>back090101</t>
    <phoneticPr fontId="2" type="noConversion"/>
  </si>
  <si>
    <t>back090102</t>
    <phoneticPr fontId="2" type="noConversion"/>
  </si>
  <si>
    <t>back090103</t>
    <phoneticPr fontId="2" type="noConversion"/>
  </si>
  <si>
    <t>back090201</t>
    <phoneticPr fontId="2" type="noConversion"/>
  </si>
  <si>
    <t>back090202</t>
    <phoneticPr fontId="2" type="noConversion"/>
  </si>
  <si>
    <t>back090203</t>
    <phoneticPr fontId="2" type="noConversion"/>
  </si>
  <si>
    <t>　(일리아)</t>
    <phoneticPr fontId="2" type="noConversion"/>
  </si>
  <si>
    <t>　(사뮤엘)</t>
    <phoneticPr fontId="2" type="noConversion"/>
  </si>
  <si>
    <t>코레 발전소 (니베르)</t>
    <phoneticPr fontId="2" type="noConversion"/>
  </si>
  <si>
    <t>　(슬라임)</t>
    <phoneticPr fontId="2" type="noConversion"/>
  </si>
  <si>
    <t>　(핏즈)</t>
    <phoneticPr fontId="2" type="noConversion"/>
  </si>
  <si>
    <t>푸르츠 발전소 (나르케)</t>
    <phoneticPr fontId="2" type="noConversion"/>
  </si>
  <si>
    <t>back090005</t>
    <phoneticPr fontId="2" type="noConversion"/>
  </si>
  <si>
    <t>T09 - 슬라우 - (영상) 에르제</t>
    <phoneticPr fontId="2" type="noConversion"/>
  </si>
  <si>
    <t>트롬베 발전소 (APC 1)</t>
    <phoneticPr fontId="2" type="noConversion"/>
  </si>
  <si>
    <t>　(APC2)</t>
    <phoneticPr fontId="2" type="noConversion"/>
  </si>
  <si>
    <t>　(APC3)</t>
    <phoneticPr fontId="2" type="noConversion"/>
  </si>
  <si>
    <t>　(보스)</t>
    <phoneticPr fontId="2" type="noConversion"/>
  </si>
  <si>
    <t>슬로트 발전소 (ACP)</t>
    <phoneticPr fontId="2" type="noConversion"/>
  </si>
  <si>
    <t>그란디네 발전소 (니베르)</t>
    <phoneticPr fontId="2" type="noConversion"/>
  </si>
  <si>
    <t>　(콘)</t>
    <phoneticPr fontId="2" type="noConversion"/>
  </si>
  <si>
    <t>　(비연)</t>
    <phoneticPr fontId="2" type="noConversion"/>
  </si>
  <si>
    <t>　(삼인방 2)</t>
    <phoneticPr fontId="2" type="noConversion"/>
  </si>
  <si>
    <t>　(삼인방 1)</t>
    <phoneticPr fontId="2" type="noConversion"/>
  </si>
  <si>
    <t>　(에너지 차단실)</t>
    <phoneticPr fontId="2" type="noConversion"/>
  </si>
  <si>
    <t>back090301</t>
    <phoneticPr fontId="2" type="noConversion"/>
  </si>
  <si>
    <t>back090302</t>
    <phoneticPr fontId="2" type="noConversion"/>
  </si>
  <si>
    <t>back090303</t>
    <phoneticPr fontId="2" type="noConversion"/>
  </si>
  <si>
    <t>back090304</t>
    <phoneticPr fontId="2" type="noConversion"/>
  </si>
  <si>
    <t>back090401</t>
    <phoneticPr fontId="2" type="noConversion"/>
  </si>
  <si>
    <t>back090402</t>
    <phoneticPr fontId="2" type="noConversion"/>
  </si>
  <si>
    <t>back090403</t>
    <phoneticPr fontId="2" type="noConversion"/>
  </si>
  <si>
    <t>back090404</t>
    <phoneticPr fontId="2" type="noConversion"/>
  </si>
  <si>
    <t>back090405</t>
    <phoneticPr fontId="2" type="noConversion"/>
  </si>
  <si>
    <t>back090407</t>
    <phoneticPr fontId="2" type="noConversion"/>
  </si>
  <si>
    <t>back090501</t>
    <phoneticPr fontId="2" type="noConversion"/>
  </si>
  <si>
    <t>back140000</t>
    <phoneticPr fontId="2" type="noConversion"/>
  </si>
  <si>
    <t>back140001</t>
    <phoneticPr fontId="2" type="noConversion"/>
  </si>
  <si>
    <t>T14 - 쿠룬산 - 구룡</t>
    <phoneticPr fontId="2" type="noConversion"/>
  </si>
  <si>
    <t>T14 - 쿠룬산 - 백명</t>
    <phoneticPr fontId="2" type="noConversion"/>
  </si>
  <si>
    <t>back100001</t>
    <phoneticPr fontId="2" type="noConversion"/>
  </si>
  <si>
    <t>back100000</t>
    <phoneticPr fontId="2" type="noConversion"/>
  </si>
  <si>
    <t>back100002</t>
    <phoneticPr fontId="2" type="noConversion"/>
  </si>
  <si>
    <t>back100003</t>
    <phoneticPr fontId="2" type="noConversion"/>
  </si>
  <si>
    <t>T10 - 노블 스카이 - 나엔 시거</t>
    <phoneticPr fontId="2" type="noConversion"/>
  </si>
  <si>
    <t>T10 - 노블 스카이 - 운 라이오닐</t>
    <phoneticPr fontId="2" type="noConversion"/>
  </si>
  <si>
    <t>T10 - 노블 스카이 - 잭터 이글아이</t>
    <phoneticPr fontId="2" type="noConversion"/>
  </si>
  <si>
    <t>T10 - 노블 스카이 - 하이람 클라프</t>
    <phoneticPr fontId="2" type="noConversion"/>
  </si>
  <si>
    <t>back100101</t>
    <phoneticPr fontId="2" type="noConversion"/>
  </si>
  <si>
    <t>back100201</t>
    <phoneticPr fontId="2" type="noConversion"/>
  </si>
  <si>
    <t>back100301</t>
    <phoneticPr fontId="2" type="noConversion"/>
  </si>
  <si>
    <t>검은 연기 조사</t>
    <phoneticPr fontId="2" type="noConversion"/>
  </si>
  <si>
    <t>관절부 파괴</t>
    <phoneticPr fontId="2" type="noConversion"/>
  </si>
  <si>
    <t>함포 방어전</t>
    <phoneticPr fontId="2" type="noConversion"/>
  </si>
  <si>
    <t>back100401</t>
    <phoneticPr fontId="2" type="noConversion"/>
  </si>
  <si>
    <t>견고한 다리로 가는 길</t>
    <phoneticPr fontId="2" type="noConversion"/>
  </si>
  <si>
    <t>back100701</t>
    <phoneticPr fontId="2" type="noConversion"/>
  </si>
  <si>
    <t>back100702</t>
    <phoneticPr fontId="2" type="noConversion"/>
  </si>
  <si>
    <t>　(마테카)</t>
    <phoneticPr fontId="2" type="noConversion"/>
  </si>
  <si>
    <t>검은 화산 내부 (흑연의 크레스)</t>
    <phoneticPr fontId="2" type="noConversion"/>
  </si>
  <si>
    <t>back110000</t>
    <phoneticPr fontId="2" type="noConversion"/>
  </si>
  <si>
    <t>back110001</t>
    <phoneticPr fontId="2" type="noConversion"/>
  </si>
  <si>
    <t>back110002</t>
    <phoneticPr fontId="2" type="noConversion"/>
  </si>
  <si>
    <t>back110003</t>
    <phoneticPr fontId="2" type="noConversion"/>
  </si>
  <si>
    <t>back110004</t>
    <phoneticPr fontId="2" type="noConversion"/>
  </si>
  <si>
    <t>back110005</t>
    <phoneticPr fontId="2" type="noConversion"/>
  </si>
  <si>
    <t>back110006</t>
    <phoneticPr fontId="2" type="noConversion"/>
  </si>
  <si>
    <t>back110007</t>
    <phoneticPr fontId="2" type="noConversion"/>
  </si>
  <si>
    <t>back110008</t>
    <phoneticPr fontId="2" type="noConversion"/>
  </si>
  <si>
    <t>back110009</t>
    <phoneticPr fontId="2" type="noConversion"/>
  </si>
  <si>
    <t>T11 - 젤바 - 황녀 이자벨라</t>
    <phoneticPr fontId="2" type="noConversion"/>
  </si>
  <si>
    <t>T11 - 젤바 - 네빌로 유르겐</t>
    <phoneticPr fontId="2" type="noConversion"/>
  </si>
  <si>
    <t>T11 - 젤바 - 사냥개 사이러스</t>
    <phoneticPr fontId="2" type="noConversion"/>
  </si>
  <si>
    <t>T11 - 젤바 - 헌터 폰</t>
    <phoneticPr fontId="2" type="noConversion"/>
  </si>
  <si>
    <t>T11 - 젤바 - 메릴 파이오니어</t>
    <phoneticPr fontId="2" type="noConversion"/>
  </si>
  <si>
    <t>T11 - 젤바 - 다나 도나텔</t>
    <phoneticPr fontId="2" type="noConversion"/>
  </si>
  <si>
    <t>T11 - 젤바 - 안젤리아 로트</t>
    <phoneticPr fontId="2" type="noConversion"/>
  </si>
  <si>
    <t>T11 - 젤바 - 로이 더 버닝펜</t>
    <phoneticPr fontId="2" type="noConversion"/>
  </si>
  <si>
    <t>T11 - 젤바 - 파란만장 에리카</t>
    <phoneticPr fontId="2" type="noConversion"/>
  </si>
  <si>
    <t>T11 - 젤바 - 하츠</t>
    <phoneticPr fontId="2" type="noConversion"/>
  </si>
  <si>
    <t>back080003</t>
    <phoneticPr fontId="2" type="noConversion"/>
  </si>
  <si>
    <t>T08 - 쇼난 - 준</t>
    <phoneticPr fontId="2" type="noConversion"/>
  </si>
  <si>
    <t>back030021</t>
    <phoneticPr fontId="2" type="noConversion"/>
  </si>
  <si>
    <t>T03 - 언더풋 - 키리</t>
    <phoneticPr fontId="2" type="noConversion"/>
  </si>
  <si>
    <t>back030022</t>
    <phoneticPr fontId="2" type="noConversion"/>
  </si>
  <si>
    <t>back030023</t>
    <phoneticPr fontId="2" type="noConversion"/>
  </si>
  <si>
    <t>back030024</t>
    <phoneticPr fontId="2" type="noConversion"/>
  </si>
  <si>
    <t>T03 - 언더풋 - GSD</t>
    <phoneticPr fontId="2" type="noConversion"/>
  </si>
  <si>
    <t>T03 - 언더풋 - 풍진</t>
    <phoneticPr fontId="2" type="noConversion"/>
  </si>
  <si>
    <t>T03 - 언더풋 - 나이트 로바토</t>
    <phoneticPr fontId="2" type="noConversion"/>
  </si>
  <si>
    <t>back030025</t>
    <phoneticPr fontId="2" type="noConversion"/>
  </si>
  <si>
    <t>T03 - 언더풋 - 시모나</t>
    <phoneticPr fontId="2" type="noConversion"/>
  </si>
</sst>
</file>

<file path=xl/styles.xml><?xml version="1.0" encoding="utf-8"?>
<styleSheet xmlns="http://schemas.openxmlformats.org/spreadsheetml/2006/main">
  <numFmts count="1">
    <numFmt numFmtId="176" formatCode="0_);[Red]\(0\)"/>
  </numFmts>
  <fonts count="6"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0" tint="-0.34998626667073579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1" fillId="2" borderId="1" xfId="0" applyFont="1" applyFill="1" applyBorder="1">
      <alignment vertical="center"/>
    </xf>
    <xf numFmtId="49" fontId="1" fillId="2" borderId="1" xfId="0" applyNumberFormat="1" applyFont="1" applyFill="1" applyBorder="1">
      <alignment vertical="center"/>
    </xf>
    <xf numFmtId="49" fontId="1" fillId="2" borderId="1" xfId="0" applyNumberFormat="1" applyFont="1" applyFill="1" applyBorder="1" applyAlignment="1">
      <alignment horizontal="left" vertical="center"/>
    </xf>
    <xf numFmtId="0" fontId="1" fillId="2" borderId="1" xfId="0" applyNumberFormat="1" applyFont="1" applyFill="1" applyBorder="1">
      <alignment vertical="center"/>
    </xf>
    <xf numFmtId="0" fontId="1" fillId="2" borderId="1" xfId="0" applyNumberFormat="1" applyFont="1" applyFill="1" applyBorder="1" applyAlignment="1">
      <alignment horizontal="left" vertical="center"/>
    </xf>
    <xf numFmtId="176" fontId="1" fillId="2" borderId="1" xfId="0" applyNumberFormat="1" applyFont="1" applyFill="1" applyBorder="1" applyAlignment="1">
      <alignment horizontal="left" vertical="center"/>
    </xf>
    <xf numFmtId="176" fontId="1" fillId="3" borderId="3" xfId="0" applyNumberFormat="1" applyFont="1" applyFill="1" applyBorder="1">
      <alignment vertical="center"/>
    </xf>
    <xf numFmtId="176" fontId="1" fillId="3" borderId="2" xfId="0" applyNumberFormat="1" applyFont="1" applyFill="1" applyBorder="1">
      <alignment vertical="center"/>
    </xf>
    <xf numFmtId="176" fontId="1" fillId="3" borderId="3" xfId="0" applyNumberFormat="1" applyFont="1" applyFill="1" applyBorder="1" applyAlignment="1">
      <alignment horizontal="right" vertical="center"/>
    </xf>
    <xf numFmtId="176" fontId="1" fillId="3" borderId="2" xfId="0" applyNumberFormat="1" applyFont="1" applyFill="1" applyBorder="1" applyAlignment="1">
      <alignment horizontal="right" vertical="center"/>
    </xf>
    <xf numFmtId="49" fontId="3" fillId="4" borderId="1" xfId="0" applyNumberFormat="1" applyFont="1" applyFill="1" applyBorder="1">
      <alignment vertical="center"/>
    </xf>
    <xf numFmtId="49" fontId="4" fillId="2" borderId="1" xfId="0" applyNumberFormat="1" applyFont="1" applyFill="1" applyBorder="1">
      <alignment vertical="center"/>
    </xf>
    <xf numFmtId="49" fontId="5" fillId="4" borderId="1" xfId="0" applyNumberFormat="1" applyFont="1" applyFill="1" applyBorder="1">
      <alignment vertical="center"/>
    </xf>
  </cellXfs>
  <cellStyles count="1">
    <cellStyle name="표준" xfId="0" builtinId="0"/>
  </cellStyles>
  <dxfs count="0"/>
  <tableStyles count="0" defaultTableStyle="TableStyleMedium9" defaultPivotStyle="PivotStyleLight16"/>
  <colors>
    <mruColors>
      <color rgb="FF66FF33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Q347"/>
  <sheetViews>
    <sheetView tabSelected="1" workbookViewId="0">
      <pane ySplit="1" topLeftCell="A2" activePane="bottomLeft" state="frozen"/>
      <selection pane="bottomLeft" activeCell="M3" sqref="M3"/>
    </sheetView>
  </sheetViews>
  <sheetFormatPr defaultRowHeight="16.5"/>
  <cols>
    <col min="1" max="1" width="8" style="1" customWidth="1"/>
    <col min="2" max="2" width="2.875" style="1" bestFit="1" customWidth="1"/>
    <col min="3" max="3" width="11.375" style="3" customWidth="1"/>
    <col min="4" max="4" width="3.375" style="1" bestFit="1" customWidth="1"/>
    <col min="5" max="5" width="19" style="4" customWidth="1"/>
    <col min="6" max="6" width="2.875" style="1" customWidth="1"/>
    <col min="7" max="7" width="9.375" style="10" customWidth="1"/>
    <col min="8" max="8" width="3" style="1" customWidth="1"/>
    <col min="9" max="9" width="10" style="4" customWidth="1"/>
    <col min="10" max="10" width="2.375" style="1" customWidth="1"/>
    <col min="11" max="11" width="9.75" style="8" customWidth="1"/>
    <col min="12" max="12" width="2.875" style="1" customWidth="1"/>
    <col min="13" max="13" width="14.125" style="1" customWidth="1"/>
    <col min="14" max="14" width="2.625" style="1" customWidth="1"/>
    <col min="15" max="15" width="13.875" style="8" customWidth="1"/>
    <col min="16" max="16" width="4.125" style="1" customWidth="1"/>
    <col min="17" max="17" width="30.875" style="2" customWidth="1"/>
    <col min="18" max="16384" width="9" style="1"/>
  </cols>
  <sheetData>
    <row r="1" spans="1:17">
      <c r="A1" s="1" t="s">
        <v>2</v>
      </c>
      <c r="C1" s="3" t="s">
        <v>3</v>
      </c>
      <c r="E1" s="4" t="s">
        <v>157</v>
      </c>
      <c r="F1" s="5"/>
      <c r="G1" s="6" t="s">
        <v>158</v>
      </c>
      <c r="I1" s="4" t="s">
        <v>156</v>
      </c>
      <c r="J1" s="5"/>
      <c r="K1" s="6" t="s">
        <v>155</v>
      </c>
      <c r="M1" s="5" t="s">
        <v>204</v>
      </c>
      <c r="N1" s="5"/>
      <c r="O1" s="6" t="s">
        <v>154</v>
      </c>
      <c r="Q1" s="2" t="s">
        <v>152</v>
      </c>
    </row>
    <row r="2" spans="1:17">
      <c r="B2" s="1" t="s">
        <v>0</v>
      </c>
      <c r="C2" s="1" t="s">
        <v>4</v>
      </c>
      <c r="D2" s="1" t="s">
        <v>1</v>
      </c>
      <c r="E2" s="4">
        <v>1</v>
      </c>
      <c r="F2" s="1" t="s">
        <v>153</v>
      </c>
      <c r="G2" s="9" t="str">
        <f>IF(E2="","",IF(E2=1,"L",IF(E2=2,"R","?")))</f>
        <v>L</v>
      </c>
      <c r="H2" s="1" t="s">
        <v>1</v>
      </c>
      <c r="I2" s="4">
        <v>286</v>
      </c>
      <c r="J2" s="1" t="s">
        <v>153</v>
      </c>
      <c r="K2" s="7">
        <f>IF(ISBLANK(I2),"",ROUND((700*I2)/800,0))</f>
        <v>250</v>
      </c>
      <c r="L2" s="1" t="s">
        <v>1</v>
      </c>
      <c r="M2" s="1">
        <v>285</v>
      </c>
      <c r="N2" s="1" t="s">
        <v>153</v>
      </c>
      <c r="O2" s="7">
        <f>IF(ISBLANK(M2),"",ROUND((525*(600-M2-147))/600,0))</f>
        <v>147</v>
      </c>
      <c r="P2" s="1" t="s">
        <v>449</v>
      </c>
      <c r="Q2" s="11" t="s">
        <v>181</v>
      </c>
    </row>
    <row r="3" spans="1:17">
      <c r="B3" s="1" t="s">
        <v>0</v>
      </c>
      <c r="C3" s="3" t="s">
        <v>5</v>
      </c>
      <c r="D3" s="1" t="s">
        <v>1</v>
      </c>
      <c r="E3" s="4">
        <v>1</v>
      </c>
      <c r="F3" s="1" t="s">
        <v>153</v>
      </c>
      <c r="G3" s="9" t="str">
        <f t="shared" ref="G3:G80" si="0">IF(E3="","",IF(E3=1,"L",IF(E3=2,"R","?")))</f>
        <v>L</v>
      </c>
      <c r="H3" s="1" t="s">
        <v>1</v>
      </c>
      <c r="I3" s="4">
        <v>393</v>
      </c>
      <c r="J3" s="1" t="s">
        <v>153</v>
      </c>
      <c r="K3" s="7">
        <f t="shared" ref="K3:K80" si="1">IF(ISBLANK(I3),"",ROUND((700*I3)/800,0))</f>
        <v>344</v>
      </c>
      <c r="L3" s="1" t="s">
        <v>1</v>
      </c>
      <c r="M3" s="1">
        <v>270</v>
      </c>
      <c r="N3" s="1" t="s">
        <v>153</v>
      </c>
      <c r="O3" s="7">
        <f t="shared" ref="O3:O87" si="2">IF(ISBLANK(M3),"",ROUND((525*(600-M3-147))/600,0))</f>
        <v>160</v>
      </c>
      <c r="P3" s="1" t="s">
        <v>449</v>
      </c>
      <c r="Q3" s="11" t="s">
        <v>372</v>
      </c>
    </row>
    <row r="4" spans="1:17">
      <c r="B4" s="1" t="s">
        <v>0</v>
      </c>
      <c r="C4" s="3" t="s">
        <v>428</v>
      </c>
      <c r="D4" s="1" t="s">
        <v>1</v>
      </c>
      <c r="E4" s="4">
        <v>2</v>
      </c>
      <c r="F4" s="1" t="s">
        <v>153</v>
      </c>
      <c r="G4" s="9" t="str">
        <f t="shared" ref="G4" si="3">IF(E4="","",IF(E4=1,"L",IF(E4=2,"R","?")))</f>
        <v>R</v>
      </c>
      <c r="H4" s="1" t="s">
        <v>1</v>
      </c>
      <c r="I4" s="4">
        <v>341</v>
      </c>
      <c r="J4" s="1" t="s">
        <v>153</v>
      </c>
      <c r="K4" s="7">
        <f t="shared" ref="K4" si="4">IF(ISBLANK(I4),"",ROUND((700*I4)/800,0))</f>
        <v>298</v>
      </c>
      <c r="L4" s="1" t="s">
        <v>1</v>
      </c>
      <c r="M4" s="1">
        <v>283</v>
      </c>
      <c r="N4" s="1" t="s">
        <v>153</v>
      </c>
      <c r="O4" s="7">
        <f t="shared" ref="O4" si="5">IF(ISBLANK(M4),"",ROUND((525*(600-M4-147))/600,0))</f>
        <v>149</v>
      </c>
      <c r="P4" s="1" t="s">
        <v>449</v>
      </c>
      <c r="Q4" s="11" t="s">
        <v>373</v>
      </c>
    </row>
    <row r="5" spans="1:17">
      <c r="B5" s="1" t="s">
        <v>0</v>
      </c>
      <c r="C5" s="3" t="s">
        <v>6</v>
      </c>
      <c r="D5" s="1" t="s">
        <v>1</v>
      </c>
      <c r="E5" s="4">
        <v>1</v>
      </c>
      <c r="F5" s="1" t="s">
        <v>153</v>
      </c>
      <c r="G5" s="9" t="str">
        <f t="shared" si="0"/>
        <v>L</v>
      </c>
      <c r="H5" s="1" t="s">
        <v>1</v>
      </c>
      <c r="I5" s="4">
        <v>248</v>
      </c>
      <c r="J5" s="1" t="s">
        <v>153</v>
      </c>
      <c r="K5" s="7">
        <f t="shared" si="1"/>
        <v>217</v>
      </c>
      <c r="L5" s="1" t="s">
        <v>1</v>
      </c>
      <c r="M5" s="1">
        <v>279</v>
      </c>
      <c r="N5" s="1" t="s">
        <v>153</v>
      </c>
      <c r="O5" s="7">
        <f t="shared" si="2"/>
        <v>152</v>
      </c>
      <c r="P5" s="1" t="s">
        <v>449</v>
      </c>
      <c r="Q5" s="2" t="s">
        <v>437</v>
      </c>
    </row>
    <row r="6" spans="1:17">
      <c r="B6" s="1" t="s">
        <v>0</v>
      </c>
      <c r="C6" s="3" t="s">
        <v>7</v>
      </c>
      <c r="D6" s="1" t="s">
        <v>1</v>
      </c>
      <c r="E6" s="4">
        <v>2</v>
      </c>
      <c r="F6" s="1" t="s">
        <v>153</v>
      </c>
      <c r="G6" s="9" t="str">
        <f t="shared" si="0"/>
        <v>R</v>
      </c>
      <c r="H6" s="1" t="s">
        <v>1</v>
      </c>
      <c r="I6" s="4">
        <v>340</v>
      </c>
      <c r="J6" s="1" t="s">
        <v>153</v>
      </c>
      <c r="K6" s="7">
        <f t="shared" si="1"/>
        <v>298</v>
      </c>
      <c r="L6" s="1" t="s">
        <v>1</v>
      </c>
      <c r="M6" s="1">
        <v>294</v>
      </c>
      <c r="N6" s="1" t="s">
        <v>153</v>
      </c>
      <c r="O6" s="7">
        <f t="shared" si="2"/>
        <v>139</v>
      </c>
      <c r="P6" s="1" t="s">
        <v>449</v>
      </c>
      <c r="Q6" s="2" t="s">
        <v>438</v>
      </c>
    </row>
    <row r="7" spans="1:17">
      <c r="B7" s="1" t="s">
        <v>0</v>
      </c>
      <c r="C7" s="3" t="s">
        <v>8</v>
      </c>
      <c r="D7" s="1" t="s">
        <v>1</v>
      </c>
      <c r="E7" s="4">
        <v>2</v>
      </c>
      <c r="F7" s="1" t="s">
        <v>153</v>
      </c>
      <c r="G7" s="9" t="str">
        <f t="shared" si="0"/>
        <v>R</v>
      </c>
      <c r="H7" s="1" t="s">
        <v>1</v>
      </c>
      <c r="I7" s="4">
        <v>534</v>
      </c>
      <c r="J7" s="1" t="s">
        <v>153</v>
      </c>
      <c r="K7" s="7">
        <f t="shared" si="1"/>
        <v>467</v>
      </c>
      <c r="L7" s="1" t="s">
        <v>1</v>
      </c>
      <c r="M7" s="1">
        <v>274</v>
      </c>
      <c r="N7" s="1" t="s">
        <v>153</v>
      </c>
      <c r="O7" s="7">
        <f t="shared" si="2"/>
        <v>157</v>
      </c>
      <c r="P7" s="1" t="s">
        <v>449</v>
      </c>
      <c r="Q7" s="2" t="s">
        <v>439</v>
      </c>
    </row>
    <row r="8" spans="1:17">
      <c r="B8" s="1" t="s">
        <v>0</v>
      </c>
      <c r="C8" s="3" t="s">
        <v>9</v>
      </c>
      <c r="D8" s="1" t="s">
        <v>1</v>
      </c>
      <c r="E8" s="4">
        <v>2</v>
      </c>
      <c r="F8" s="1" t="s">
        <v>153</v>
      </c>
      <c r="G8" s="9" t="str">
        <f t="shared" si="0"/>
        <v>R</v>
      </c>
      <c r="H8" s="1" t="s">
        <v>1</v>
      </c>
      <c r="I8" s="4">
        <v>533</v>
      </c>
      <c r="J8" s="1" t="s">
        <v>153</v>
      </c>
      <c r="K8" s="7">
        <f t="shared" si="1"/>
        <v>466</v>
      </c>
      <c r="L8" s="1" t="s">
        <v>1</v>
      </c>
      <c r="M8" s="1">
        <v>284</v>
      </c>
      <c r="N8" s="1" t="s">
        <v>153</v>
      </c>
      <c r="O8" s="7">
        <f t="shared" si="2"/>
        <v>148</v>
      </c>
      <c r="P8" s="1" t="s">
        <v>449</v>
      </c>
      <c r="Q8" s="2" t="s">
        <v>441</v>
      </c>
    </row>
    <row r="9" spans="1:17">
      <c r="B9" s="1" t="s">
        <v>0</v>
      </c>
      <c r="C9" s="3" t="s">
        <v>10</v>
      </c>
      <c r="D9" s="1" t="s">
        <v>1</v>
      </c>
      <c r="E9" s="4">
        <v>1</v>
      </c>
      <c r="F9" s="1" t="s">
        <v>153</v>
      </c>
      <c r="G9" s="9" t="str">
        <f t="shared" si="0"/>
        <v>L</v>
      </c>
      <c r="H9" s="1" t="s">
        <v>1</v>
      </c>
      <c r="I9" s="4">
        <v>170</v>
      </c>
      <c r="J9" s="1" t="s">
        <v>153</v>
      </c>
      <c r="K9" s="7">
        <f t="shared" si="1"/>
        <v>149</v>
      </c>
      <c r="L9" s="1" t="s">
        <v>1</v>
      </c>
      <c r="M9" s="1">
        <v>291</v>
      </c>
      <c r="N9" s="1" t="s">
        <v>153</v>
      </c>
      <c r="O9" s="7">
        <f t="shared" si="2"/>
        <v>142</v>
      </c>
      <c r="P9" s="1" t="s">
        <v>449</v>
      </c>
      <c r="Q9" s="2" t="s">
        <v>442</v>
      </c>
    </row>
    <row r="10" spans="1:17">
      <c r="B10" s="1" t="s">
        <v>0</v>
      </c>
      <c r="C10" s="3" t="s">
        <v>11</v>
      </c>
      <c r="D10" s="1" t="s">
        <v>1</v>
      </c>
      <c r="E10" s="4">
        <v>2</v>
      </c>
      <c r="F10" s="1" t="s">
        <v>153</v>
      </c>
      <c r="G10" s="9" t="str">
        <f t="shared" si="0"/>
        <v>R</v>
      </c>
      <c r="H10" s="1" t="s">
        <v>1</v>
      </c>
      <c r="I10" s="4">
        <v>506</v>
      </c>
      <c r="J10" s="1" t="s">
        <v>153</v>
      </c>
      <c r="K10" s="7">
        <f t="shared" si="1"/>
        <v>443</v>
      </c>
      <c r="L10" s="1" t="s">
        <v>1</v>
      </c>
      <c r="M10" s="1">
        <v>282</v>
      </c>
      <c r="N10" s="1" t="s">
        <v>153</v>
      </c>
      <c r="O10" s="7">
        <f t="shared" si="2"/>
        <v>150</v>
      </c>
      <c r="P10" s="1" t="s">
        <v>449</v>
      </c>
      <c r="Q10" s="2" t="s">
        <v>443</v>
      </c>
    </row>
    <row r="11" spans="1:17">
      <c r="B11" s="1" t="s">
        <v>0</v>
      </c>
      <c r="C11" s="3" t="s">
        <v>12</v>
      </c>
      <c r="D11" s="1" t="s">
        <v>1</v>
      </c>
      <c r="E11" s="4">
        <v>1</v>
      </c>
      <c r="F11" s="1" t="s">
        <v>153</v>
      </c>
      <c r="G11" s="9" t="str">
        <f t="shared" si="0"/>
        <v>L</v>
      </c>
      <c r="H11" s="1" t="s">
        <v>1</v>
      </c>
      <c r="I11" s="4">
        <v>190</v>
      </c>
      <c r="J11" s="1" t="s">
        <v>153</v>
      </c>
      <c r="K11" s="7">
        <f t="shared" si="1"/>
        <v>166</v>
      </c>
      <c r="L11" s="1" t="s">
        <v>1</v>
      </c>
      <c r="M11" s="1">
        <v>297</v>
      </c>
      <c r="N11" s="1" t="s">
        <v>153</v>
      </c>
      <c r="O11" s="7">
        <f t="shared" si="2"/>
        <v>137</v>
      </c>
      <c r="P11" s="1" t="s">
        <v>449</v>
      </c>
      <c r="Q11" s="2" t="s">
        <v>444</v>
      </c>
    </row>
    <row r="12" spans="1:17">
      <c r="B12" s="1" t="s">
        <v>0</v>
      </c>
      <c r="C12" s="3" t="s">
        <v>13</v>
      </c>
      <c r="D12" s="1" t="s">
        <v>1</v>
      </c>
      <c r="E12" s="4">
        <v>1</v>
      </c>
      <c r="F12" s="1" t="s">
        <v>153</v>
      </c>
      <c r="G12" s="9" t="str">
        <f t="shared" si="0"/>
        <v>L</v>
      </c>
      <c r="H12" s="1" t="s">
        <v>1</v>
      </c>
      <c r="I12" s="4">
        <v>193</v>
      </c>
      <c r="J12" s="1" t="s">
        <v>153</v>
      </c>
      <c r="K12" s="7">
        <f t="shared" si="1"/>
        <v>169</v>
      </c>
      <c r="L12" s="1" t="s">
        <v>1</v>
      </c>
      <c r="M12" s="1">
        <v>248</v>
      </c>
      <c r="N12" s="1" t="s">
        <v>153</v>
      </c>
      <c r="O12" s="7">
        <f t="shared" si="2"/>
        <v>179</v>
      </c>
      <c r="P12" s="1" t="s">
        <v>449</v>
      </c>
      <c r="Q12" s="2" t="s">
        <v>445</v>
      </c>
    </row>
    <row r="13" spans="1:17">
      <c r="B13" s="1" t="s">
        <v>0</v>
      </c>
      <c r="C13" s="3" t="s">
        <v>14</v>
      </c>
      <c r="D13" s="1" t="s">
        <v>1</v>
      </c>
      <c r="E13" s="4">
        <v>2</v>
      </c>
      <c r="F13" s="1" t="s">
        <v>153</v>
      </c>
      <c r="G13" s="9" t="str">
        <f t="shared" si="0"/>
        <v>R</v>
      </c>
      <c r="H13" s="1" t="s">
        <v>1</v>
      </c>
      <c r="I13" s="4">
        <v>585</v>
      </c>
      <c r="J13" s="1" t="s">
        <v>153</v>
      </c>
      <c r="K13" s="7">
        <f t="shared" si="1"/>
        <v>512</v>
      </c>
      <c r="L13" s="1" t="s">
        <v>1</v>
      </c>
      <c r="M13" s="1">
        <v>280</v>
      </c>
      <c r="N13" s="1" t="s">
        <v>153</v>
      </c>
      <c r="O13" s="7">
        <f t="shared" si="2"/>
        <v>151</v>
      </c>
      <c r="P13" s="1" t="s">
        <v>449</v>
      </c>
      <c r="Q13" s="2" t="s">
        <v>446</v>
      </c>
    </row>
    <row r="14" spans="1:17">
      <c r="B14" s="1" t="s">
        <v>0</v>
      </c>
      <c r="C14" s="3" t="s">
        <v>15</v>
      </c>
      <c r="D14" s="1" t="s">
        <v>1</v>
      </c>
      <c r="E14" s="4">
        <v>2</v>
      </c>
      <c r="F14" s="1" t="s">
        <v>153</v>
      </c>
      <c r="G14" s="9" t="str">
        <f t="shared" si="0"/>
        <v>R</v>
      </c>
      <c r="H14" s="1" t="s">
        <v>1</v>
      </c>
      <c r="I14" s="4">
        <v>585</v>
      </c>
      <c r="J14" s="1" t="s">
        <v>153</v>
      </c>
      <c r="K14" s="7">
        <f t="shared" si="1"/>
        <v>512</v>
      </c>
      <c r="L14" s="1" t="s">
        <v>1</v>
      </c>
      <c r="M14" s="1">
        <v>280</v>
      </c>
      <c r="N14" s="1" t="s">
        <v>153</v>
      </c>
      <c r="O14" s="7">
        <f t="shared" si="2"/>
        <v>151</v>
      </c>
      <c r="P14" s="1" t="s">
        <v>449</v>
      </c>
      <c r="Q14" s="2" t="s">
        <v>441</v>
      </c>
    </row>
    <row r="15" spans="1:17">
      <c r="B15" s="1" t="s">
        <v>0</v>
      </c>
      <c r="C15" s="3" t="s">
        <v>16</v>
      </c>
      <c r="D15" s="1" t="s">
        <v>1</v>
      </c>
      <c r="E15" s="4">
        <v>2</v>
      </c>
      <c r="F15" s="1" t="s">
        <v>153</v>
      </c>
      <c r="G15" s="9" t="str">
        <f t="shared" si="0"/>
        <v>R</v>
      </c>
      <c r="H15" s="1" t="s">
        <v>1</v>
      </c>
      <c r="I15" s="4">
        <v>614</v>
      </c>
      <c r="J15" s="1" t="s">
        <v>153</v>
      </c>
      <c r="K15" s="7">
        <f t="shared" si="1"/>
        <v>537</v>
      </c>
      <c r="L15" s="1" t="s">
        <v>1</v>
      </c>
      <c r="M15" s="1">
        <v>302</v>
      </c>
      <c r="N15" s="1" t="s">
        <v>153</v>
      </c>
      <c r="O15" s="7">
        <f t="shared" si="2"/>
        <v>132</v>
      </c>
      <c r="P15" s="1" t="s">
        <v>449</v>
      </c>
      <c r="Q15" s="2" t="s">
        <v>447</v>
      </c>
    </row>
    <row r="16" spans="1:17">
      <c r="B16" s="1" t="s">
        <v>0</v>
      </c>
      <c r="C16" s="3" t="s">
        <v>17</v>
      </c>
      <c r="D16" s="1" t="s">
        <v>1</v>
      </c>
      <c r="E16" s="4">
        <v>1</v>
      </c>
      <c r="F16" s="1" t="s">
        <v>153</v>
      </c>
      <c r="G16" s="9" t="str">
        <f t="shared" si="0"/>
        <v>L</v>
      </c>
      <c r="H16" s="1" t="s">
        <v>1</v>
      </c>
      <c r="I16" s="4">
        <v>175</v>
      </c>
      <c r="J16" s="1" t="s">
        <v>153</v>
      </c>
      <c r="K16" s="7">
        <f t="shared" si="1"/>
        <v>153</v>
      </c>
      <c r="L16" s="1" t="s">
        <v>1</v>
      </c>
      <c r="M16" s="1">
        <v>292</v>
      </c>
      <c r="N16" s="1" t="s">
        <v>153</v>
      </c>
      <c r="O16" s="7">
        <f t="shared" si="2"/>
        <v>141</v>
      </c>
      <c r="P16" s="1" t="s">
        <v>449</v>
      </c>
      <c r="Q16" s="2" t="s">
        <v>448</v>
      </c>
    </row>
    <row r="17" spans="2:17">
      <c r="B17" s="1" t="s">
        <v>0</v>
      </c>
      <c r="C17" s="3" t="s">
        <v>18</v>
      </c>
      <c r="D17" s="1" t="s">
        <v>1</v>
      </c>
      <c r="E17" s="4">
        <v>2</v>
      </c>
      <c r="F17" s="1" t="s">
        <v>153</v>
      </c>
      <c r="G17" s="9" t="str">
        <f t="shared" si="0"/>
        <v>R</v>
      </c>
      <c r="H17" s="1" t="s">
        <v>1</v>
      </c>
      <c r="I17" s="4">
        <v>442</v>
      </c>
      <c r="J17" s="1" t="s">
        <v>153</v>
      </c>
      <c r="K17" s="7">
        <f t="shared" si="1"/>
        <v>387</v>
      </c>
      <c r="L17" s="1" t="s">
        <v>1</v>
      </c>
      <c r="M17" s="1">
        <v>294</v>
      </c>
      <c r="N17" s="1" t="s">
        <v>153</v>
      </c>
      <c r="O17" s="7">
        <f t="shared" si="2"/>
        <v>139</v>
      </c>
      <c r="P17" s="1" t="s">
        <v>449</v>
      </c>
      <c r="Q17" s="2" t="s">
        <v>441</v>
      </c>
    </row>
    <row r="18" spans="2:17">
      <c r="B18" s="1" t="s">
        <v>0</v>
      </c>
      <c r="C18" s="3" t="s">
        <v>19</v>
      </c>
      <c r="D18" s="1" t="s">
        <v>1</v>
      </c>
      <c r="E18" s="4">
        <v>1</v>
      </c>
      <c r="F18" s="1" t="s">
        <v>153</v>
      </c>
      <c r="G18" s="9" t="str">
        <f t="shared" si="0"/>
        <v>L</v>
      </c>
      <c r="H18" s="1" t="s">
        <v>1</v>
      </c>
      <c r="I18" s="4">
        <v>110</v>
      </c>
      <c r="J18" s="1" t="s">
        <v>153</v>
      </c>
      <c r="K18" s="7">
        <f t="shared" si="1"/>
        <v>96</v>
      </c>
      <c r="L18" s="1" t="s">
        <v>1</v>
      </c>
      <c r="M18" s="1">
        <v>363</v>
      </c>
      <c r="N18" s="1" t="s">
        <v>153</v>
      </c>
      <c r="O18" s="7">
        <f t="shared" si="2"/>
        <v>79</v>
      </c>
      <c r="P18" s="1" t="s">
        <v>449</v>
      </c>
      <c r="Q18" s="2" t="s">
        <v>440</v>
      </c>
    </row>
    <row r="19" spans="2:17">
      <c r="B19" s="1" t="s">
        <v>0</v>
      </c>
      <c r="C19" s="3" t="s">
        <v>20</v>
      </c>
      <c r="D19" s="1" t="s">
        <v>1</v>
      </c>
      <c r="E19" s="4">
        <v>1</v>
      </c>
      <c r="F19" s="1" t="s">
        <v>153</v>
      </c>
      <c r="G19" s="9" t="str">
        <f t="shared" si="0"/>
        <v>L</v>
      </c>
      <c r="H19" s="1" t="s">
        <v>1</v>
      </c>
      <c r="I19" s="4">
        <v>145</v>
      </c>
      <c r="J19" s="1" t="s">
        <v>153</v>
      </c>
      <c r="K19" s="7">
        <f t="shared" si="1"/>
        <v>127</v>
      </c>
      <c r="L19" s="1" t="s">
        <v>1</v>
      </c>
      <c r="M19" s="1">
        <v>282</v>
      </c>
      <c r="N19" s="1" t="s">
        <v>153</v>
      </c>
      <c r="O19" s="7">
        <f t="shared" si="2"/>
        <v>150</v>
      </c>
      <c r="P19" s="1" t="s">
        <v>449</v>
      </c>
      <c r="Q19" s="2" t="s">
        <v>441</v>
      </c>
    </row>
    <row r="20" spans="2:17">
      <c r="B20" s="1" t="s">
        <v>0</v>
      </c>
      <c r="C20" s="3" t="s">
        <v>21</v>
      </c>
      <c r="D20" s="1" t="s">
        <v>1</v>
      </c>
      <c r="E20" s="4">
        <v>2</v>
      </c>
      <c r="F20" s="1" t="s">
        <v>153</v>
      </c>
      <c r="G20" s="9" t="str">
        <f t="shared" si="0"/>
        <v>R</v>
      </c>
      <c r="H20" s="1" t="s">
        <v>1</v>
      </c>
      <c r="I20" s="4">
        <v>311</v>
      </c>
      <c r="J20" s="1" t="s">
        <v>153</v>
      </c>
      <c r="K20" s="7">
        <f t="shared" si="1"/>
        <v>272</v>
      </c>
      <c r="L20" s="1" t="s">
        <v>1</v>
      </c>
      <c r="M20" s="1">
        <v>272</v>
      </c>
      <c r="N20" s="1" t="s">
        <v>153</v>
      </c>
      <c r="O20" s="7">
        <f t="shared" si="2"/>
        <v>158</v>
      </c>
      <c r="P20" s="1" t="s">
        <v>449</v>
      </c>
      <c r="Q20" s="11" t="s">
        <v>378</v>
      </c>
    </row>
    <row r="21" spans="2:17">
      <c r="B21" s="1" t="s">
        <v>0</v>
      </c>
      <c r="C21" s="3" t="s">
        <v>22</v>
      </c>
      <c r="D21" s="1" t="s">
        <v>1</v>
      </c>
      <c r="E21" s="4">
        <v>2</v>
      </c>
      <c r="F21" s="1" t="s">
        <v>153</v>
      </c>
      <c r="G21" s="9" t="str">
        <f t="shared" si="0"/>
        <v>R</v>
      </c>
      <c r="H21" s="1" t="s">
        <v>1</v>
      </c>
      <c r="I21" s="4">
        <v>402</v>
      </c>
      <c r="J21" s="1" t="s">
        <v>153</v>
      </c>
      <c r="K21" s="7">
        <f t="shared" si="1"/>
        <v>352</v>
      </c>
      <c r="L21" s="1" t="s">
        <v>1</v>
      </c>
      <c r="M21" s="1">
        <v>275</v>
      </c>
      <c r="N21" s="1" t="s">
        <v>153</v>
      </c>
      <c r="O21" s="7">
        <f t="shared" si="2"/>
        <v>156</v>
      </c>
      <c r="P21" s="1" t="s">
        <v>449</v>
      </c>
      <c r="Q21" s="11" t="s">
        <v>379</v>
      </c>
    </row>
    <row r="22" spans="2:17">
      <c r="B22" s="1" t="s">
        <v>0</v>
      </c>
      <c r="C22" s="3" t="s">
        <v>358</v>
      </c>
      <c r="D22" s="1" t="s">
        <v>1</v>
      </c>
      <c r="E22" s="4">
        <v>2</v>
      </c>
      <c r="F22" s="1" t="s">
        <v>153</v>
      </c>
      <c r="G22" s="9" t="str">
        <f t="shared" ref="G22:G26" si="6">IF(E22="","",IF(E22=1,"L",IF(E22=2,"R","?")))</f>
        <v>R</v>
      </c>
      <c r="H22" s="1" t="s">
        <v>1</v>
      </c>
      <c r="I22" s="4">
        <v>174</v>
      </c>
      <c r="J22" s="1" t="s">
        <v>153</v>
      </c>
      <c r="K22" s="7">
        <f t="shared" ref="K22:K26" si="7">IF(ISBLANK(I22),"",ROUND((700*I22)/800,0))</f>
        <v>152</v>
      </c>
      <c r="L22" s="1" t="s">
        <v>1</v>
      </c>
      <c r="M22" s="1">
        <v>268</v>
      </c>
      <c r="N22" s="1" t="s">
        <v>153</v>
      </c>
      <c r="O22" s="7">
        <f t="shared" ref="O22:O26" si="8">IF(ISBLANK(M22),"",ROUND((525*(600-M22-147))/600,0))</f>
        <v>162</v>
      </c>
      <c r="P22" s="1" t="s">
        <v>449</v>
      </c>
      <c r="Q22" s="11" t="s">
        <v>380</v>
      </c>
    </row>
    <row r="23" spans="2:17">
      <c r="B23" s="1" t="s">
        <v>0</v>
      </c>
      <c r="C23" s="3" t="s">
        <v>374</v>
      </c>
      <c r="D23" s="1" t="s">
        <v>1</v>
      </c>
      <c r="E23" s="4">
        <v>2</v>
      </c>
      <c r="F23" s="1" t="s">
        <v>153</v>
      </c>
      <c r="G23" s="9" t="str">
        <f t="shared" si="6"/>
        <v>R</v>
      </c>
      <c r="H23" s="1" t="s">
        <v>1</v>
      </c>
      <c r="I23" s="4">
        <v>335</v>
      </c>
      <c r="J23" s="1" t="s">
        <v>153</v>
      </c>
      <c r="K23" s="7">
        <f t="shared" si="7"/>
        <v>293</v>
      </c>
      <c r="L23" s="1" t="s">
        <v>1</v>
      </c>
      <c r="M23" s="1">
        <v>300</v>
      </c>
      <c r="N23" s="1" t="s">
        <v>153</v>
      </c>
      <c r="O23" s="7">
        <f t="shared" si="8"/>
        <v>134</v>
      </c>
      <c r="P23" s="1" t="s">
        <v>449</v>
      </c>
      <c r="Q23" s="11" t="s">
        <v>381</v>
      </c>
    </row>
    <row r="24" spans="2:17">
      <c r="B24" s="1" t="s">
        <v>0</v>
      </c>
      <c r="C24" s="3" t="s">
        <v>375</v>
      </c>
      <c r="D24" s="1" t="s">
        <v>1</v>
      </c>
      <c r="E24" s="4">
        <v>1</v>
      </c>
      <c r="F24" s="1" t="s">
        <v>153</v>
      </c>
      <c r="G24" s="9" t="str">
        <f t="shared" si="6"/>
        <v>L</v>
      </c>
      <c r="H24" s="1" t="s">
        <v>1</v>
      </c>
      <c r="I24" s="4">
        <v>349</v>
      </c>
      <c r="J24" s="1" t="s">
        <v>153</v>
      </c>
      <c r="K24" s="7">
        <f t="shared" si="7"/>
        <v>305</v>
      </c>
      <c r="L24" s="1" t="s">
        <v>1</v>
      </c>
      <c r="M24" s="1">
        <v>259</v>
      </c>
      <c r="N24" s="1" t="s">
        <v>153</v>
      </c>
      <c r="O24" s="7">
        <f t="shared" si="8"/>
        <v>170</v>
      </c>
      <c r="P24" s="1" t="s">
        <v>449</v>
      </c>
      <c r="Q24" s="11" t="s">
        <v>382</v>
      </c>
    </row>
    <row r="25" spans="2:17">
      <c r="B25" s="1" t="s">
        <v>0</v>
      </c>
      <c r="C25" s="3" t="s">
        <v>376</v>
      </c>
      <c r="D25" s="1" t="s">
        <v>1</v>
      </c>
      <c r="E25" s="4">
        <v>1</v>
      </c>
      <c r="F25" s="1" t="s">
        <v>153</v>
      </c>
      <c r="G25" s="9" t="str">
        <f t="shared" si="6"/>
        <v>L</v>
      </c>
      <c r="H25" s="1" t="s">
        <v>1</v>
      </c>
      <c r="I25" s="4">
        <v>321</v>
      </c>
      <c r="J25" s="1" t="s">
        <v>153</v>
      </c>
      <c r="K25" s="7">
        <f t="shared" si="7"/>
        <v>281</v>
      </c>
      <c r="L25" s="1" t="s">
        <v>1</v>
      </c>
      <c r="M25" s="1">
        <v>272</v>
      </c>
      <c r="N25" s="1" t="s">
        <v>153</v>
      </c>
      <c r="O25" s="7">
        <f t="shared" si="8"/>
        <v>158</v>
      </c>
      <c r="P25" s="1" t="s">
        <v>449</v>
      </c>
      <c r="Q25" s="11" t="s">
        <v>383</v>
      </c>
    </row>
    <row r="26" spans="2:17">
      <c r="B26" s="1" t="s">
        <v>0</v>
      </c>
      <c r="C26" s="3" t="s">
        <v>377</v>
      </c>
      <c r="D26" s="1" t="s">
        <v>1</v>
      </c>
      <c r="E26" s="4">
        <v>1</v>
      </c>
      <c r="F26" s="1" t="s">
        <v>153</v>
      </c>
      <c r="G26" s="9" t="str">
        <f t="shared" si="6"/>
        <v>L</v>
      </c>
      <c r="H26" s="1" t="s">
        <v>1</v>
      </c>
      <c r="I26" s="4">
        <v>310</v>
      </c>
      <c r="J26" s="1" t="s">
        <v>153</v>
      </c>
      <c r="K26" s="7">
        <f t="shared" si="7"/>
        <v>271</v>
      </c>
      <c r="L26" s="1" t="s">
        <v>1</v>
      </c>
      <c r="M26" s="1">
        <v>267</v>
      </c>
      <c r="N26" s="1" t="s">
        <v>153</v>
      </c>
      <c r="O26" s="7">
        <f t="shared" si="8"/>
        <v>163</v>
      </c>
      <c r="P26" s="1" t="s">
        <v>449</v>
      </c>
      <c r="Q26" s="11" t="s">
        <v>180</v>
      </c>
    </row>
    <row r="27" spans="2:17">
      <c r="B27" s="1" t="s">
        <v>0</v>
      </c>
      <c r="C27" s="3" t="s">
        <v>23</v>
      </c>
      <c r="D27" s="1" t="s">
        <v>1</v>
      </c>
      <c r="E27" s="4">
        <v>1</v>
      </c>
      <c r="F27" s="1" t="s">
        <v>153</v>
      </c>
      <c r="G27" s="9" t="str">
        <f t="shared" si="0"/>
        <v>L</v>
      </c>
      <c r="H27" s="1" t="s">
        <v>1</v>
      </c>
      <c r="I27" s="4">
        <v>138</v>
      </c>
      <c r="J27" s="1" t="s">
        <v>153</v>
      </c>
      <c r="K27" s="7">
        <f t="shared" si="1"/>
        <v>121</v>
      </c>
      <c r="L27" s="1" t="s">
        <v>1</v>
      </c>
      <c r="M27" s="1">
        <v>272</v>
      </c>
      <c r="N27" s="1" t="s">
        <v>153</v>
      </c>
      <c r="O27" s="7">
        <f t="shared" si="2"/>
        <v>158</v>
      </c>
      <c r="P27" s="1" t="s">
        <v>449</v>
      </c>
      <c r="Q27" s="12" t="s">
        <v>182</v>
      </c>
    </row>
    <row r="28" spans="2:17">
      <c r="B28" s="1" t="s">
        <v>0</v>
      </c>
      <c r="C28" s="3" t="s">
        <v>24</v>
      </c>
      <c r="D28" s="1" t="s">
        <v>1</v>
      </c>
      <c r="E28" s="4">
        <v>2</v>
      </c>
      <c r="F28" s="1" t="s">
        <v>153</v>
      </c>
      <c r="G28" s="9" t="str">
        <f t="shared" si="0"/>
        <v>R</v>
      </c>
      <c r="H28" s="1" t="s">
        <v>1</v>
      </c>
      <c r="I28" s="4">
        <v>383</v>
      </c>
      <c r="J28" s="1" t="s">
        <v>153</v>
      </c>
      <c r="K28" s="7">
        <f t="shared" si="1"/>
        <v>335</v>
      </c>
      <c r="L28" s="1" t="s">
        <v>1</v>
      </c>
      <c r="M28" s="1">
        <v>230</v>
      </c>
      <c r="N28" s="1" t="s">
        <v>153</v>
      </c>
      <c r="O28" s="7">
        <f t="shared" si="2"/>
        <v>195</v>
      </c>
      <c r="P28" s="1" t="s">
        <v>449</v>
      </c>
    </row>
    <row r="29" spans="2:17">
      <c r="B29" s="1" t="s">
        <v>0</v>
      </c>
      <c r="C29" s="3" t="s">
        <v>25</v>
      </c>
      <c r="D29" s="1" t="s">
        <v>1</v>
      </c>
      <c r="E29" s="4">
        <v>2</v>
      </c>
      <c r="F29" s="1" t="s">
        <v>153</v>
      </c>
      <c r="G29" s="9" t="str">
        <f t="shared" si="0"/>
        <v>R</v>
      </c>
      <c r="H29" s="1" t="s">
        <v>1</v>
      </c>
      <c r="I29" s="4">
        <v>430</v>
      </c>
      <c r="J29" s="1" t="s">
        <v>153</v>
      </c>
      <c r="K29" s="7">
        <f t="shared" si="1"/>
        <v>376</v>
      </c>
      <c r="L29" s="1" t="s">
        <v>1</v>
      </c>
      <c r="M29" s="1">
        <v>237</v>
      </c>
      <c r="N29" s="1" t="s">
        <v>153</v>
      </c>
      <c r="O29" s="7">
        <f t="shared" si="2"/>
        <v>189</v>
      </c>
      <c r="P29" s="1" t="s">
        <v>449</v>
      </c>
    </row>
    <row r="30" spans="2:17">
      <c r="B30" s="1" t="s">
        <v>0</v>
      </c>
      <c r="C30" s="3" t="s">
        <v>26</v>
      </c>
      <c r="D30" s="1" t="s">
        <v>1</v>
      </c>
      <c r="E30" s="4">
        <v>2</v>
      </c>
      <c r="F30" s="1" t="s">
        <v>153</v>
      </c>
      <c r="G30" s="9" t="str">
        <f t="shared" si="0"/>
        <v>R</v>
      </c>
      <c r="H30" s="1" t="s">
        <v>1</v>
      </c>
      <c r="I30" s="4">
        <v>620</v>
      </c>
      <c r="J30" s="1" t="s">
        <v>153</v>
      </c>
      <c r="K30" s="7">
        <f t="shared" si="1"/>
        <v>543</v>
      </c>
      <c r="L30" s="1" t="s">
        <v>1</v>
      </c>
      <c r="M30" s="1">
        <v>267</v>
      </c>
      <c r="N30" s="1" t="s">
        <v>153</v>
      </c>
      <c r="O30" s="7">
        <f t="shared" si="2"/>
        <v>163</v>
      </c>
      <c r="P30" s="1" t="s">
        <v>449</v>
      </c>
      <c r="Q30" s="2" t="s">
        <v>159</v>
      </c>
    </row>
    <row r="31" spans="2:17">
      <c r="B31" s="1" t="s">
        <v>0</v>
      </c>
      <c r="C31" s="3" t="s">
        <v>27</v>
      </c>
      <c r="D31" s="1" t="s">
        <v>1</v>
      </c>
      <c r="E31" s="4">
        <v>2</v>
      </c>
      <c r="F31" s="1" t="s">
        <v>153</v>
      </c>
      <c r="G31" s="9" t="str">
        <f t="shared" si="0"/>
        <v>R</v>
      </c>
      <c r="H31" s="1" t="s">
        <v>1</v>
      </c>
      <c r="I31" s="4">
        <v>577</v>
      </c>
      <c r="J31" s="1" t="s">
        <v>153</v>
      </c>
      <c r="K31" s="7">
        <f t="shared" si="1"/>
        <v>505</v>
      </c>
      <c r="L31" s="1" t="s">
        <v>1</v>
      </c>
      <c r="M31" s="1">
        <v>254</v>
      </c>
      <c r="N31" s="1" t="s">
        <v>153</v>
      </c>
      <c r="O31" s="7">
        <f t="shared" si="2"/>
        <v>174</v>
      </c>
      <c r="P31" s="1" t="s">
        <v>449</v>
      </c>
    </row>
    <row r="32" spans="2:17">
      <c r="B32" s="1" t="s">
        <v>0</v>
      </c>
      <c r="C32" s="3" t="s">
        <v>28</v>
      </c>
      <c r="D32" s="1" t="s">
        <v>1</v>
      </c>
      <c r="E32" s="4">
        <v>1</v>
      </c>
      <c r="F32" s="1" t="s">
        <v>153</v>
      </c>
      <c r="G32" s="9" t="str">
        <f t="shared" si="0"/>
        <v>L</v>
      </c>
      <c r="H32" s="1" t="s">
        <v>1</v>
      </c>
      <c r="I32" s="4">
        <v>253</v>
      </c>
      <c r="J32" s="1" t="s">
        <v>153</v>
      </c>
      <c r="K32" s="7">
        <f t="shared" si="1"/>
        <v>221</v>
      </c>
      <c r="L32" s="1" t="s">
        <v>1</v>
      </c>
      <c r="M32" s="1">
        <v>317</v>
      </c>
      <c r="N32" s="1" t="s">
        <v>153</v>
      </c>
      <c r="O32" s="7">
        <f t="shared" si="2"/>
        <v>119</v>
      </c>
      <c r="P32" s="1" t="s">
        <v>449</v>
      </c>
      <c r="Q32" s="2" t="s">
        <v>160</v>
      </c>
    </row>
    <row r="33" spans="2:17">
      <c r="B33" s="1" t="s">
        <v>0</v>
      </c>
      <c r="C33" s="3" t="s">
        <v>29</v>
      </c>
      <c r="D33" s="1" t="s">
        <v>1</v>
      </c>
      <c r="E33" s="4">
        <v>1</v>
      </c>
      <c r="F33" s="1" t="s">
        <v>153</v>
      </c>
      <c r="G33" s="9" t="str">
        <f t="shared" si="0"/>
        <v>L</v>
      </c>
      <c r="H33" s="1" t="s">
        <v>1</v>
      </c>
      <c r="I33" s="4">
        <v>214</v>
      </c>
      <c r="J33" s="1" t="s">
        <v>153</v>
      </c>
      <c r="K33" s="7">
        <f t="shared" si="1"/>
        <v>187</v>
      </c>
      <c r="L33" s="1" t="s">
        <v>1</v>
      </c>
      <c r="M33" s="1">
        <v>209</v>
      </c>
      <c r="N33" s="1" t="s">
        <v>153</v>
      </c>
      <c r="O33" s="7">
        <f t="shared" si="2"/>
        <v>214</v>
      </c>
      <c r="P33" s="1" t="s">
        <v>449</v>
      </c>
    </row>
    <row r="34" spans="2:17">
      <c r="B34" s="1" t="s">
        <v>0</v>
      </c>
      <c r="C34" s="3" t="s">
        <v>30</v>
      </c>
      <c r="D34" s="1" t="s">
        <v>1</v>
      </c>
      <c r="E34" s="4">
        <v>1</v>
      </c>
      <c r="F34" s="1" t="s">
        <v>153</v>
      </c>
      <c r="G34" s="9" t="str">
        <f t="shared" si="0"/>
        <v>L</v>
      </c>
      <c r="H34" s="1" t="s">
        <v>1</v>
      </c>
      <c r="I34" s="4">
        <v>246</v>
      </c>
      <c r="J34" s="1" t="s">
        <v>153</v>
      </c>
      <c r="K34" s="7">
        <f t="shared" si="1"/>
        <v>215</v>
      </c>
      <c r="L34" s="1" t="s">
        <v>1</v>
      </c>
      <c r="M34" s="1">
        <v>246</v>
      </c>
      <c r="N34" s="1" t="s">
        <v>153</v>
      </c>
      <c r="O34" s="7">
        <f t="shared" si="2"/>
        <v>181</v>
      </c>
      <c r="P34" s="1" t="s">
        <v>449</v>
      </c>
    </row>
    <row r="35" spans="2:17">
      <c r="B35" s="1" t="s">
        <v>0</v>
      </c>
      <c r="C35" s="3" t="s">
        <v>31</v>
      </c>
      <c r="D35" s="1" t="s">
        <v>1</v>
      </c>
      <c r="E35" s="4">
        <v>1</v>
      </c>
      <c r="F35" s="1" t="s">
        <v>153</v>
      </c>
      <c r="G35" s="9" t="str">
        <f t="shared" si="0"/>
        <v>L</v>
      </c>
      <c r="H35" s="1" t="s">
        <v>1</v>
      </c>
      <c r="I35" s="4">
        <v>246</v>
      </c>
      <c r="J35" s="1" t="s">
        <v>153</v>
      </c>
      <c r="K35" s="7">
        <f t="shared" si="1"/>
        <v>215</v>
      </c>
      <c r="L35" s="1" t="s">
        <v>1</v>
      </c>
      <c r="M35" s="1">
        <v>246</v>
      </c>
      <c r="N35" s="1" t="s">
        <v>153</v>
      </c>
      <c r="O35" s="7">
        <f t="shared" si="2"/>
        <v>181</v>
      </c>
      <c r="P35" s="1" t="s">
        <v>449</v>
      </c>
    </row>
    <row r="36" spans="2:17">
      <c r="B36" s="1" t="s">
        <v>0</v>
      </c>
      <c r="C36" s="3" t="s">
        <v>32</v>
      </c>
      <c r="D36" s="1" t="s">
        <v>1</v>
      </c>
      <c r="E36" s="4">
        <v>1</v>
      </c>
      <c r="F36" s="1" t="s">
        <v>153</v>
      </c>
      <c r="G36" s="9" t="str">
        <f t="shared" si="0"/>
        <v>L</v>
      </c>
      <c r="H36" s="1" t="s">
        <v>1</v>
      </c>
      <c r="I36" s="4">
        <v>383</v>
      </c>
      <c r="J36" s="1" t="s">
        <v>153</v>
      </c>
      <c r="K36" s="7">
        <f t="shared" si="1"/>
        <v>335</v>
      </c>
      <c r="L36" s="1" t="s">
        <v>1</v>
      </c>
      <c r="M36" s="1">
        <v>241</v>
      </c>
      <c r="N36" s="1" t="s">
        <v>153</v>
      </c>
      <c r="O36" s="7">
        <f t="shared" si="2"/>
        <v>186</v>
      </c>
      <c r="P36" s="1" t="s">
        <v>449</v>
      </c>
      <c r="Q36" s="2" t="s">
        <v>161</v>
      </c>
    </row>
    <row r="37" spans="2:17">
      <c r="B37" s="1" t="s">
        <v>0</v>
      </c>
      <c r="C37" s="3" t="s">
        <v>33</v>
      </c>
      <c r="D37" s="1" t="s">
        <v>1</v>
      </c>
      <c r="E37" s="4">
        <v>2</v>
      </c>
      <c r="F37" s="1" t="s">
        <v>153</v>
      </c>
      <c r="G37" s="9" t="str">
        <f t="shared" si="0"/>
        <v>R</v>
      </c>
      <c r="H37" s="1" t="s">
        <v>1</v>
      </c>
      <c r="I37" s="4">
        <v>400</v>
      </c>
      <c r="J37" s="1" t="s">
        <v>153</v>
      </c>
      <c r="K37" s="7">
        <f t="shared" si="1"/>
        <v>350</v>
      </c>
      <c r="L37" s="1" t="s">
        <v>1</v>
      </c>
      <c r="M37" s="1">
        <v>267</v>
      </c>
      <c r="N37" s="1" t="s">
        <v>153</v>
      </c>
      <c r="O37" s="7">
        <f t="shared" si="2"/>
        <v>163</v>
      </c>
      <c r="P37" s="1" t="s">
        <v>449</v>
      </c>
    </row>
    <row r="38" spans="2:17">
      <c r="B38" s="1" t="s">
        <v>0</v>
      </c>
      <c r="C38" s="3" t="s">
        <v>34</v>
      </c>
      <c r="D38" s="1" t="s">
        <v>1</v>
      </c>
      <c r="E38" s="4">
        <v>1</v>
      </c>
      <c r="F38" s="1" t="s">
        <v>153</v>
      </c>
      <c r="G38" s="9" t="str">
        <f t="shared" si="0"/>
        <v>L</v>
      </c>
      <c r="H38" s="1" t="s">
        <v>1</v>
      </c>
      <c r="I38" s="4">
        <v>224</v>
      </c>
      <c r="J38" s="1" t="s">
        <v>153</v>
      </c>
      <c r="K38" s="7">
        <f t="shared" si="1"/>
        <v>196</v>
      </c>
      <c r="L38" s="1" t="s">
        <v>1</v>
      </c>
      <c r="M38" s="1">
        <v>195</v>
      </c>
      <c r="N38" s="1" t="s">
        <v>153</v>
      </c>
      <c r="O38" s="7">
        <f t="shared" si="2"/>
        <v>226</v>
      </c>
      <c r="P38" s="1" t="s">
        <v>449</v>
      </c>
    </row>
    <row r="39" spans="2:17">
      <c r="B39" s="1" t="s">
        <v>0</v>
      </c>
      <c r="C39" s="3" t="s">
        <v>35</v>
      </c>
      <c r="D39" s="1" t="s">
        <v>1</v>
      </c>
      <c r="E39" s="4">
        <v>1</v>
      </c>
      <c r="F39" s="1" t="s">
        <v>153</v>
      </c>
      <c r="G39" s="9" t="str">
        <f t="shared" si="0"/>
        <v>L</v>
      </c>
      <c r="H39" s="1" t="s">
        <v>1</v>
      </c>
      <c r="I39" s="4">
        <v>233</v>
      </c>
      <c r="J39" s="1" t="s">
        <v>153</v>
      </c>
      <c r="K39" s="7">
        <f t="shared" si="1"/>
        <v>204</v>
      </c>
      <c r="L39" s="1" t="s">
        <v>1</v>
      </c>
      <c r="M39" s="1">
        <v>240</v>
      </c>
      <c r="N39" s="1" t="s">
        <v>153</v>
      </c>
      <c r="O39" s="7">
        <f t="shared" si="2"/>
        <v>186</v>
      </c>
      <c r="P39" s="1" t="s">
        <v>449</v>
      </c>
      <c r="Q39" s="2" t="s">
        <v>162</v>
      </c>
    </row>
    <row r="40" spans="2:17">
      <c r="B40" s="1" t="s">
        <v>0</v>
      </c>
      <c r="C40" s="3" t="s">
        <v>36</v>
      </c>
      <c r="D40" s="1" t="s">
        <v>1</v>
      </c>
      <c r="E40" s="4">
        <v>1</v>
      </c>
      <c r="F40" s="1" t="s">
        <v>153</v>
      </c>
      <c r="G40" s="9" t="str">
        <f t="shared" si="0"/>
        <v>L</v>
      </c>
      <c r="H40" s="1" t="s">
        <v>1</v>
      </c>
      <c r="I40" s="4">
        <v>263</v>
      </c>
      <c r="J40" s="1" t="s">
        <v>153</v>
      </c>
      <c r="K40" s="7">
        <f t="shared" si="1"/>
        <v>230</v>
      </c>
      <c r="L40" s="1" t="s">
        <v>1</v>
      </c>
      <c r="M40" s="1">
        <v>251</v>
      </c>
      <c r="N40" s="1" t="s">
        <v>153</v>
      </c>
      <c r="O40" s="7">
        <f t="shared" si="2"/>
        <v>177</v>
      </c>
      <c r="P40" s="1" t="s">
        <v>449</v>
      </c>
    </row>
    <row r="41" spans="2:17">
      <c r="B41" s="1" t="s">
        <v>0</v>
      </c>
      <c r="C41" s="3" t="s">
        <v>37</v>
      </c>
      <c r="D41" s="1" t="s">
        <v>1</v>
      </c>
      <c r="E41" s="4">
        <v>1</v>
      </c>
      <c r="F41" s="1" t="s">
        <v>153</v>
      </c>
      <c r="G41" s="9" t="str">
        <f t="shared" si="0"/>
        <v>L</v>
      </c>
      <c r="H41" s="1" t="s">
        <v>1</v>
      </c>
      <c r="I41" s="4">
        <v>270</v>
      </c>
      <c r="J41" s="1" t="s">
        <v>153</v>
      </c>
      <c r="K41" s="7">
        <f t="shared" si="1"/>
        <v>236</v>
      </c>
      <c r="L41" s="1" t="s">
        <v>1</v>
      </c>
      <c r="M41" s="1">
        <v>265</v>
      </c>
      <c r="N41" s="1" t="s">
        <v>153</v>
      </c>
      <c r="O41" s="7">
        <f t="shared" si="2"/>
        <v>165</v>
      </c>
      <c r="P41" s="1" t="s">
        <v>449</v>
      </c>
    </row>
    <row r="42" spans="2:17">
      <c r="B42" s="1" t="s">
        <v>0</v>
      </c>
      <c r="C42" s="3" t="s">
        <v>38</v>
      </c>
      <c r="D42" s="1" t="s">
        <v>1</v>
      </c>
      <c r="E42" s="4">
        <v>1</v>
      </c>
      <c r="F42" s="1" t="s">
        <v>153</v>
      </c>
      <c r="G42" s="9" t="str">
        <f t="shared" si="0"/>
        <v>L</v>
      </c>
      <c r="H42" s="1" t="s">
        <v>1</v>
      </c>
      <c r="I42" s="4">
        <v>200</v>
      </c>
      <c r="J42" s="1" t="s">
        <v>153</v>
      </c>
      <c r="K42" s="7">
        <f t="shared" si="1"/>
        <v>175</v>
      </c>
      <c r="L42" s="1" t="s">
        <v>1</v>
      </c>
      <c r="M42" s="1">
        <v>205</v>
      </c>
      <c r="N42" s="1" t="s">
        <v>153</v>
      </c>
      <c r="O42" s="7">
        <f t="shared" si="2"/>
        <v>217</v>
      </c>
      <c r="P42" s="1" t="s">
        <v>449</v>
      </c>
    </row>
    <row r="43" spans="2:17">
      <c r="B43" s="1" t="s">
        <v>0</v>
      </c>
      <c r="C43" s="3" t="s">
        <v>39</v>
      </c>
      <c r="D43" s="1" t="s">
        <v>1</v>
      </c>
      <c r="E43" s="4">
        <v>2</v>
      </c>
      <c r="F43" s="1" t="s">
        <v>153</v>
      </c>
      <c r="G43" s="9" t="str">
        <f t="shared" si="0"/>
        <v>R</v>
      </c>
      <c r="H43" s="1" t="s">
        <v>1</v>
      </c>
      <c r="I43" s="4">
        <v>315</v>
      </c>
      <c r="J43" s="1" t="s">
        <v>153</v>
      </c>
      <c r="K43" s="7">
        <f t="shared" si="1"/>
        <v>276</v>
      </c>
      <c r="L43" s="1" t="s">
        <v>1</v>
      </c>
      <c r="M43" s="1">
        <v>244</v>
      </c>
      <c r="N43" s="1" t="s">
        <v>153</v>
      </c>
      <c r="O43" s="7">
        <f t="shared" si="2"/>
        <v>183</v>
      </c>
      <c r="P43" s="1" t="s">
        <v>449</v>
      </c>
      <c r="Q43" s="11" t="s">
        <v>395</v>
      </c>
    </row>
    <row r="44" spans="2:17">
      <c r="B44" s="1" t="s">
        <v>0</v>
      </c>
      <c r="C44" s="3" t="s">
        <v>384</v>
      </c>
      <c r="D44" s="1" t="s">
        <v>1</v>
      </c>
      <c r="E44" s="4">
        <v>2</v>
      </c>
      <c r="F44" s="1" t="s">
        <v>153</v>
      </c>
      <c r="G44" s="9" t="str">
        <f t="shared" ref="G44:G58" si="9">IF(E44="","",IF(E44=1,"L",IF(E44=2,"R","?")))</f>
        <v>R</v>
      </c>
      <c r="H44" s="1" t="s">
        <v>1</v>
      </c>
      <c r="I44" s="4">
        <v>219</v>
      </c>
      <c r="J44" s="1" t="s">
        <v>153</v>
      </c>
      <c r="K44" s="7">
        <f t="shared" ref="K44:K58" si="10">IF(ISBLANK(I44),"",ROUND((700*I44)/800,0))</f>
        <v>192</v>
      </c>
      <c r="L44" s="1" t="s">
        <v>1</v>
      </c>
      <c r="M44" s="1">
        <v>288</v>
      </c>
      <c r="N44" s="1" t="s">
        <v>153</v>
      </c>
      <c r="O44" s="7">
        <f t="shared" ref="O44:O58" si="11">IF(ISBLANK(M44),"",ROUND((525*(600-M44-147))/600,0))</f>
        <v>144</v>
      </c>
      <c r="P44" s="1" t="s">
        <v>449</v>
      </c>
      <c r="Q44" s="11" t="s">
        <v>178</v>
      </c>
    </row>
    <row r="45" spans="2:17">
      <c r="B45" s="1" t="s">
        <v>0</v>
      </c>
      <c r="C45" s="3" t="s">
        <v>385</v>
      </c>
      <c r="D45" s="1" t="s">
        <v>1</v>
      </c>
      <c r="E45" s="4">
        <v>2</v>
      </c>
      <c r="F45" s="1" t="s">
        <v>153</v>
      </c>
      <c r="G45" s="9" t="str">
        <f t="shared" si="9"/>
        <v>R</v>
      </c>
      <c r="H45" s="1" t="s">
        <v>1</v>
      </c>
      <c r="I45" s="4">
        <v>273</v>
      </c>
      <c r="J45" s="1" t="s">
        <v>153</v>
      </c>
      <c r="K45" s="7">
        <f t="shared" si="10"/>
        <v>239</v>
      </c>
      <c r="L45" s="1" t="s">
        <v>1</v>
      </c>
      <c r="M45" s="1">
        <v>275</v>
      </c>
      <c r="N45" s="1" t="s">
        <v>153</v>
      </c>
      <c r="O45" s="7">
        <f t="shared" si="11"/>
        <v>156</v>
      </c>
      <c r="P45" s="1" t="s">
        <v>449</v>
      </c>
      <c r="Q45" s="11" t="s">
        <v>397</v>
      </c>
    </row>
    <row r="46" spans="2:17">
      <c r="B46" s="1" t="s">
        <v>0</v>
      </c>
      <c r="C46" s="3" t="s">
        <v>386</v>
      </c>
      <c r="D46" s="1" t="s">
        <v>1</v>
      </c>
      <c r="E46" s="4">
        <v>1</v>
      </c>
      <c r="F46" s="1" t="s">
        <v>153</v>
      </c>
      <c r="G46" s="9" t="str">
        <f t="shared" si="9"/>
        <v>L</v>
      </c>
      <c r="H46" s="1" t="s">
        <v>1</v>
      </c>
      <c r="I46" s="4">
        <v>308</v>
      </c>
      <c r="J46" s="1" t="s">
        <v>153</v>
      </c>
      <c r="K46" s="7">
        <f t="shared" si="10"/>
        <v>270</v>
      </c>
      <c r="L46" s="1" t="s">
        <v>1</v>
      </c>
      <c r="M46" s="1">
        <v>263</v>
      </c>
      <c r="N46" s="1" t="s">
        <v>153</v>
      </c>
      <c r="O46" s="7">
        <f t="shared" si="11"/>
        <v>166</v>
      </c>
      <c r="P46" s="1" t="s">
        <v>449</v>
      </c>
      <c r="Q46" s="11" t="s">
        <v>398</v>
      </c>
    </row>
    <row r="47" spans="2:17">
      <c r="B47" s="1" t="s">
        <v>0</v>
      </c>
      <c r="C47" s="3" t="s">
        <v>387</v>
      </c>
      <c r="D47" s="1" t="s">
        <v>1</v>
      </c>
      <c r="E47" s="4">
        <v>1</v>
      </c>
      <c r="F47" s="1" t="s">
        <v>153</v>
      </c>
      <c r="G47" s="9" t="str">
        <f t="shared" si="9"/>
        <v>L</v>
      </c>
      <c r="H47" s="1" t="s">
        <v>1</v>
      </c>
      <c r="I47" s="4">
        <v>280</v>
      </c>
      <c r="J47" s="1" t="s">
        <v>153</v>
      </c>
      <c r="K47" s="7">
        <f t="shared" si="10"/>
        <v>245</v>
      </c>
      <c r="L47" s="1" t="s">
        <v>1</v>
      </c>
      <c r="M47" s="1">
        <v>244</v>
      </c>
      <c r="N47" s="1" t="s">
        <v>153</v>
      </c>
      <c r="O47" s="7">
        <f t="shared" si="11"/>
        <v>183</v>
      </c>
      <c r="P47" s="1" t="s">
        <v>449</v>
      </c>
      <c r="Q47" s="11" t="s">
        <v>179</v>
      </c>
    </row>
    <row r="48" spans="2:17">
      <c r="B48" s="1" t="s">
        <v>0</v>
      </c>
      <c r="C48" s="3" t="s">
        <v>388</v>
      </c>
      <c r="D48" s="1" t="s">
        <v>1</v>
      </c>
      <c r="E48" s="4">
        <v>1</v>
      </c>
      <c r="F48" s="1" t="s">
        <v>153</v>
      </c>
      <c r="G48" s="9" t="str">
        <f t="shared" si="9"/>
        <v>L</v>
      </c>
      <c r="H48" s="1" t="s">
        <v>1</v>
      </c>
      <c r="I48" s="4">
        <v>311</v>
      </c>
      <c r="J48" s="1" t="s">
        <v>153</v>
      </c>
      <c r="K48" s="7">
        <f t="shared" si="10"/>
        <v>272</v>
      </c>
      <c r="L48" s="1" t="s">
        <v>1</v>
      </c>
      <c r="M48" s="1">
        <v>250</v>
      </c>
      <c r="N48" s="1" t="s">
        <v>153</v>
      </c>
      <c r="O48" s="7">
        <f t="shared" si="11"/>
        <v>178</v>
      </c>
      <c r="P48" s="1" t="s">
        <v>449</v>
      </c>
      <c r="Q48" s="11" t="s">
        <v>399</v>
      </c>
    </row>
    <row r="49" spans="2:17">
      <c r="B49" s="1" t="s">
        <v>0</v>
      </c>
      <c r="C49" s="3" t="s">
        <v>389</v>
      </c>
      <c r="D49" s="1" t="s">
        <v>1</v>
      </c>
      <c r="E49" s="4">
        <v>2</v>
      </c>
      <c r="F49" s="1" t="s">
        <v>153</v>
      </c>
      <c r="G49" s="9" t="str">
        <f t="shared" si="9"/>
        <v>R</v>
      </c>
      <c r="H49" s="1" t="s">
        <v>1</v>
      </c>
      <c r="I49" s="4">
        <v>286</v>
      </c>
      <c r="J49" s="1" t="s">
        <v>153</v>
      </c>
      <c r="K49" s="7">
        <f t="shared" si="10"/>
        <v>250</v>
      </c>
      <c r="L49" s="1" t="s">
        <v>1</v>
      </c>
      <c r="M49" s="1">
        <v>286</v>
      </c>
      <c r="N49" s="1" t="s">
        <v>153</v>
      </c>
      <c r="O49" s="7">
        <f t="shared" si="11"/>
        <v>146</v>
      </c>
      <c r="P49" s="1" t="s">
        <v>449</v>
      </c>
      <c r="Q49" s="11" t="s">
        <v>400</v>
      </c>
    </row>
    <row r="50" spans="2:17">
      <c r="B50" s="1" t="s">
        <v>0</v>
      </c>
      <c r="C50" s="3" t="s">
        <v>390</v>
      </c>
      <c r="D50" s="1" t="s">
        <v>1</v>
      </c>
      <c r="E50" s="4">
        <v>1</v>
      </c>
      <c r="F50" s="1" t="s">
        <v>153</v>
      </c>
      <c r="G50" s="9" t="str">
        <f t="shared" si="9"/>
        <v>L</v>
      </c>
      <c r="H50" s="1" t="s">
        <v>1</v>
      </c>
      <c r="I50" s="4">
        <v>122</v>
      </c>
      <c r="J50" s="1" t="s">
        <v>153</v>
      </c>
      <c r="K50" s="7">
        <f t="shared" si="10"/>
        <v>107</v>
      </c>
      <c r="L50" s="1" t="s">
        <v>1</v>
      </c>
      <c r="M50" s="1">
        <v>243</v>
      </c>
      <c r="N50" s="1" t="s">
        <v>153</v>
      </c>
      <c r="O50" s="7">
        <f t="shared" si="11"/>
        <v>184</v>
      </c>
      <c r="P50" s="1" t="s">
        <v>449</v>
      </c>
      <c r="Q50" s="11" t="s">
        <v>401</v>
      </c>
    </row>
    <row r="51" spans="2:17">
      <c r="B51" s="1" t="s">
        <v>0</v>
      </c>
      <c r="C51" s="3" t="s">
        <v>391</v>
      </c>
      <c r="D51" s="1" t="s">
        <v>1</v>
      </c>
      <c r="E51" s="4">
        <v>2</v>
      </c>
      <c r="F51" s="1" t="s">
        <v>153</v>
      </c>
      <c r="G51" s="9" t="str">
        <f t="shared" si="9"/>
        <v>R</v>
      </c>
      <c r="H51" s="1" t="s">
        <v>1</v>
      </c>
      <c r="I51" s="4">
        <v>214</v>
      </c>
      <c r="J51" s="1" t="s">
        <v>153</v>
      </c>
      <c r="K51" s="7">
        <f t="shared" si="10"/>
        <v>187</v>
      </c>
      <c r="L51" s="1" t="s">
        <v>1</v>
      </c>
      <c r="M51" s="1">
        <v>245</v>
      </c>
      <c r="N51" s="1" t="s">
        <v>153</v>
      </c>
      <c r="O51" s="7">
        <f t="shared" si="11"/>
        <v>182</v>
      </c>
      <c r="P51" s="1" t="s">
        <v>449</v>
      </c>
      <c r="Q51" s="11" t="s">
        <v>402</v>
      </c>
    </row>
    <row r="52" spans="2:17">
      <c r="B52" s="1" t="s">
        <v>0</v>
      </c>
      <c r="C52" s="3" t="s">
        <v>392</v>
      </c>
      <c r="D52" s="1" t="s">
        <v>1</v>
      </c>
      <c r="E52" s="4">
        <v>2</v>
      </c>
      <c r="F52" s="1" t="s">
        <v>153</v>
      </c>
      <c r="G52" s="9" t="str">
        <f t="shared" si="9"/>
        <v>R</v>
      </c>
      <c r="H52" s="1" t="s">
        <v>1</v>
      </c>
      <c r="I52" s="4">
        <v>255</v>
      </c>
      <c r="J52" s="1" t="s">
        <v>153</v>
      </c>
      <c r="K52" s="7">
        <f t="shared" si="10"/>
        <v>223</v>
      </c>
      <c r="L52" s="1" t="s">
        <v>1</v>
      </c>
      <c r="M52" s="1">
        <v>276</v>
      </c>
      <c r="N52" s="1" t="s">
        <v>153</v>
      </c>
      <c r="O52" s="7">
        <f t="shared" si="11"/>
        <v>155</v>
      </c>
      <c r="P52" s="1" t="s">
        <v>449</v>
      </c>
      <c r="Q52" s="11" t="s">
        <v>403</v>
      </c>
    </row>
    <row r="53" spans="2:17">
      <c r="B53" s="1" t="s">
        <v>0</v>
      </c>
      <c r="C53" s="3" t="s">
        <v>393</v>
      </c>
      <c r="D53" s="1" t="s">
        <v>1</v>
      </c>
      <c r="E53" s="4">
        <v>1</v>
      </c>
      <c r="F53" s="1" t="s">
        <v>153</v>
      </c>
      <c r="G53" s="9" t="str">
        <f t="shared" si="9"/>
        <v>L</v>
      </c>
      <c r="H53" s="1" t="s">
        <v>1</v>
      </c>
      <c r="I53" s="4">
        <v>304</v>
      </c>
      <c r="J53" s="1" t="s">
        <v>153</v>
      </c>
      <c r="K53" s="7">
        <f t="shared" si="10"/>
        <v>266</v>
      </c>
      <c r="L53" s="1" t="s">
        <v>1</v>
      </c>
      <c r="M53" s="1">
        <v>288</v>
      </c>
      <c r="N53" s="1" t="s">
        <v>153</v>
      </c>
      <c r="O53" s="7">
        <f t="shared" si="11"/>
        <v>144</v>
      </c>
      <c r="P53" s="1" t="s">
        <v>449</v>
      </c>
      <c r="Q53" s="11" t="s">
        <v>404</v>
      </c>
    </row>
    <row r="54" spans="2:17">
      <c r="B54" s="1" t="s">
        <v>0</v>
      </c>
      <c r="C54" s="3" t="s">
        <v>396</v>
      </c>
      <c r="D54" s="1" t="s">
        <v>1</v>
      </c>
      <c r="E54" s="4">
        <v>1</v>
      </c>
      <c r="F54" s="1" t="s">
        <v>153</v>
      </c>
      <c r="G54" s="9" t="str">
        <f t="shared" ref="G54" si="12">IF(E54="","",IF(E54=1,"L",IF(E54=2,"R","?")))</f>
        <v>L</v>
      </c>
      <c r="H54" s="1" t="s">
        <v>1</v>
      </c>
      <c r="I54" s="4">
        <v>286</v>
      </c>
      <c r="J54" s="1" t="s">
        <v>153</v>
      </c>
      <c r="K54" s="7">
        <f t="shared" ref="K54" si="13">IF(ISBLANK(I54),"",ROUND((700*I54)/800,0))</f>
        <v>250</v>
      </c>
      <c r="L54" s="1" t="s">
        <v>1</v>
      </c>
      <c r="M54" s="1">
        <v>282</v>
      </c>
      <c r="N54" s="1" t="s">
        <v>153</v>
      </c>
      <c r="O54" s="7">
        <f t="shared" ref="O54" si="14">IF(ISBLANK(M54),"",ROUND((525*(600-M54-147))/600,0))</f>
        <v>150</v>
      </c>
      <c r="P54" s="1" t="s">
        <v>449</v>
      </c>
      <c r="Q54" s="11" t="s">
        <v>405</v>
      </c>
    </row>
    <row r="55" spans="2:17">
      <c r="B55" s="1" t="s">
        <v>0</v>
      </c>
      <c r="C55" s="3" t="s">
        <v>429</v>
      </c>
      <c r="D55" s="1" t="s">
        <v>1</v>
      </c>
      <c r="E55" s="4">
        <v>2</v>
      </c>
      <c r="F55" s="1" t="s">
        <v>153</v>
      </c>
      <c r="G55" s="9" t="str">
        <f t="shared" ref="G55" si="15">IF(E55="","",IF(E55=1,"L",IF(E55=2,"R","?")))</f>
        <v>R</v>
      </c>
      <c r="H55" s="1" t="s">
        <v>1</v>
      </c>
      <c r="I55" s="4">
        <v>521</v>
      </c>
      <c r="J55" s="1" t="s">
        <v>153</v>
      </c>
      <c r="K55" s="7">
        <f t="shared" ref="K55" si="16">IF(ISBLANK(I55),"",ROUND((700*I55)/800,0))</f>
        <v>456</v>
      </c>
      <c r="L55" s="1" t="s">
        <v>1</v>
      </c>
      <c r="M55" s="1">
        <v>250</v>
      </c>
      <c r="N55" s="1" t="s">
        <v>153</v>
      </c>
      <c r="O55" s="7">
        <f t="shared" ref="O55" si="17">IF(ISBLANK(M55),"",ROUND((525*(600-M55-147))/600,0))</f>
        <v>178</v>
      </c>
      <c r="P55" s="1" t="s">
        <v>449</v>
      </c>
      <c r="Q55" s="11" t="s">
        <v>430</v>
      </c>
    </row>
    <row r="56" spans="2:17">
      <c r="B56" s="1" t="s">
        <v>0</v>
      </c>
      <c r="C56" s="3" t="s">
        <v>457</v>
      </c>
      <c r="D56" s="1" t="s">
        <v>1</v>
      </c>
      <c r="E56" s="4">
        <v>2</v>
      </c>
      <c r="F56" s="1" t="s">
        <v>153</v>
      </c>
      <c r="G56" s="9" t="str">
        <f t="shared" ref="G56" si="18">IF(E56="","",IF(E56=1,"L",IF(E56=2,"R","?")))</f>
        <v>R</v>
      </c>
      <c r="H56" s="1" t="s">
        <v>1</v>
      </c>
      <c r="I56" s="4">
        <v>439</v>
      </c>
      <c r="J56" s="1" t="s">
        <v>153</v>
      </c>
      <c r="K56" s="7">
        <f t="shared" ref="K56" si="19">IF(ISBLANK(I56),"",ROUND((700*I56)/800,0))</f>
        <v>384</v>
      </c>
      <c r="L56" s="1" t="s">
        <v>1</v>
      </c>
      <c r="M56" s="1">
        <v>225</v>
      </c>
      <c r="N56" s="1" t="s">
        <v>153</v>
      </c>
      <c r="O56" s="7">
        <f t="shared" ref="O56" si="20">IF(ISBLANK(M56),"",ROUND((525*(600-M56-147))/600,0))</f>
        <v>200</v>
      </c>
      <c r="P56" s="1" t="s">
        <v>449</v>
      </c>
      <c r="Q56" s="11" t="s">
        <v>458</v>
      </c>
    </row>
    <row r="57" spans="2:17">
      <c r="B57" s="1" t="s">
        <v>0</v>
      </c>
      <c r="C57" s="3" t="s">
        <v>487</v>
      </c>
      <c r="D57" s="1" t="s">
        <v>1</v>
      </c>
      <c r="E57" s="4">
        <v>2</v>
      </c>
      <c r="F57" s="1" t="s">
        <v>153</v>
      </c>
      <c r="G57" s="9" t="str">
        <f t="shared" ref="G57" si="21">IF(E57="","",IF(E57=1,"L",IF(E57=2,"R","?")))</f>
        <v>R</v>
      </c>
      <c r="H57" s="1" t="s">
        <v>1</v>
      </c>
      <c r="I57" s="4">
        <v>503</v>
      </c>
      <c r="J57" s="1" t="s">
        <v>153</v>
      </c>
      <c r="K57" s="7">
        <f t="shared" ref="K57" si="22">IF(ISBLANK(I57),"",ROUND((700*I57)/800,0))</f>
        <v>440</v>
      </c>
      <c r="L57" s="1" t="s">
        <v>1</v>
      </c>
      <c r="M57" s="1">
        <v>225</v>
      </c>
      <c r="N57" s="1" t="s">
        <v>153</v>
      </c>
      <c r="O57" s="7">
        <f t="shared" ref="O57" si="23">IF(ISBLANK(M57),"",ROUND((525*(600-M57-147))/600,0))</f>
        <v>200</v>
      </c>
      <c r="P57" s="1" t="s">
        <v>449</v>
      </c>
      <c r="Q57" s="11" t="s">
        <v>488</v>
      </c>
    </row>
    <row r="58" spans="2:17">
      <c r="B58" s="1" t="s">
        <v>0</v>
      </c>
      <c r="C58" s="3" t="s">
        <v>394</v>
      </c>
      <c r="D58" s="1" t="s">
        <v>1</v>
      </c>
      <c r="E58" s="4">
        <v>2</v>
      </c>
      <c r="F58" s="1" t="s">
        <v>153</v>
      </c>
      <c r="G58" s="9" t="str">
        <f t="shared" si="9"/>
        <v>R</v>
      </c>
      <c r="H58" s="1" t="s">
        <v>1</v>
      </c>
      <c r="I58" s="4">
        <v>415</v>
      </c>
      <c r="J58" s="1" t="s">
        <v>153</v>
      </c>
      <c r="K58" s="7">
        <f t="shared" si="10"/>
        <v>363</v>
      </c>
      <c r="L58" s="1" t="s">
        <v>1</v>
      </c>
      <c r="M58" s="1">
        <v>212</v>
      </c>
      <c r="N58" s="1" t="s">
        <v>153</v>
      </c>
      <c r="O58" s="7">
        <f t="shared" si="11"/>
        <v>211</v>
      </c>
      <c r="P58" s="1" t="s">
        <v>449</v>
      </c>
      <c r="Q58" s="11" t="s">
        <v>511</v>
      </c>
    </row>
    <row r="59" spans="2:17">
      <c r="B59" s="1" t="s">
        <v>0</v>
      </c>
      <c r="C59" s="3" t="s">
        <v>616</v>
      </c>
      <c r="D59" s="1" t="s">
        <v>1</v>
      </c>
      <c r="F59" s="1" t="s">
        <v>153</v>
      </c>
      <c r="G59" s="9" t="str">
        <f t="shared" ref="G59" si="24">IF(E59="","",IF(E59=1,"L",IF(E59=2,"R","?")))</f>
        <v/>
      </c>
      <c r="H59" s="1" t="s">
        <v>1</v>
      </c>
      <c r="J59" s="1" t="s">
        <v>153</v>
      </c>
      <c r="K59" s="7" t="str">
        <f t="shared" ref="K59" si="25">IF(ISBLANK(I59),"",ROUND((700*I59)/800,0))</f>
        <v/>
      </c>
      <c r="L59" s="1" t="s">
        <v>1</v>
      </c>
      <c r="N59" s="1" t="s">
        <v>153</v>
      </c>
      <c r="O59" s="7" t="str">
        <f t="shared" ref="O59" si="26">IF(ISBLANK(M59),"",ROUND((525*(600-M59-147))/600,0))</f>
        <v/>
      </c>
      <c r="P59" s="1" t="s">
        <v>449</v>
      </c>
      <c r="Q59" s="11" t="s">
        <v>617</v>
      </c>
    </row>
    <row r="60" spans="2:17">
      <c r="B60" s="1" t="s">
        <v>0</v>
      </c>
      <c r="C60" s="3" t="s">
        <v>618</v>
      </c>
      <c r="D60" s="1" t="s">
        <v>1</v>
      </c>
      <c r="F60" s="1" t="s">
        <v>153</v>
      </c>
      <c r="G60" s="9" t="str">
        <f t="shared" ref="G60:G62" si="27">IF(E60="","",IF(E60=1,"L",IF(E60=2,"R","?")))</f>
        <v/>
      </c>
      <c r="H60" s="1" t="s">
        <v>1</v>
      </c>
      <c r="J60" s="1" t="s">
        <v>153</v>
      </c>
      <c r="K60" s="7" t="str">
        <f t="shared" ref="K60:K62" si="28">IF(ISBLANK(I60),"",ROUND((700*I60)/800,0))</f>
        <v/>
      </c>
      <c r="L60" s="1" t="s">
        <v>1</v>
      </c>
      <c r="N60" s="1" t="s">
        <v>153</v>
      </c>
      <c r="O60" s="7" t="str">
        <f t="shared" ref="O60:O62" si="29">IF(ISBLANK(M60),"",ROUND((525*(600-M60-147))/600,0))</f>
        <v/>
      </c>
      <c r="P60" s="1" t="s">
        <v>449</v>
      </c>
      <c r="Q60" s="11" t="s">
        <v>621</v>
      </c>
    </row>
    <row r="61" spans="2:17">
      <c r="B61" s="1" t="s">
        <v>0</v>
      </c>
      <c r="C61" s="3" t="s">
        <v>619</v>
      </c>
      <c r="D61" s="1" t="s">
        <v>1</v>
      </c>
      <c r="F61" s="1" t="s">
        <v>153</v>
      </c>
      <c r="G61" s="9" t="str">
        <f t="shared" si="27"/>
        <v/>
      </c>
      <c r="H61" s="1" t="s">
        <v>1</v>
      </c>
      <c r="J61" s="1" t="s">
        <v>153</v>
      </c>
      <c r="K61" s="7" t="str">
        <f t="shared" si="28"/>
        <v/>
      </c>
      <c r="L61" s="1" t="s">
        <v>1</v>
      </c>
      <c r="N61" s="1" t="s">
        <v>153</v>
      </c>
      <c r="O61" s="7" t="str">
        <f t="shared" si="29"/>
        <v/>
      </c>
      <c r="P61" s="1" t="s">
        <v>449</v>
      </c>
      <c r="Q61" s="11" t="s">
        <v>622</v>
      </c>
    </row>
    <row r="62" spans="2:17">
      <c r="B62" s="1" t="s">
        <v>0</v>
      </c>
      <c r="C62" s="3" t="s">
        <v>620</v>
      </c>
      <c r="D62" s="1" t="s">
        <v>1</v>
      </c>
      <c r="F62" s="1" t="s">
        <v>153</v>
      </c>
      <c r="G62" s="9" t="str">
        <f t="shared" si="27"/>
        <v/>
      </c>
      <c r="H62" s="1" t="s">
        <v>1</v>
      </c>
      <c r="J62" s="1" t="s">
        <v>153</v>
      </c>
      <c r="K62" s="7" t="str">
        <f t="shared" si="28"/>
        <v/>
      </c>
      <c r="L62" s="1" t="s">
        <v>1</v>
      </c>
      <c r="N62" s="1" t="s">
        <v>153</v>
      </c>
      <c r="O62" s="7" t="str">
        <f t="shared" si="29"/>
        <v/>
      </c>
      <c r="P62" s="1" t="s">
        <v>449</v>
      </c>
      <c r="Q62" s="11" t="s">
        <v>623</v>
      </c>
    </row>
    <row r="63" spans="2:17">
      <c r="B63" s="1" t="s">
        <v>0</v>
      </c>
      <c r="C63" s="3" t="s">
        <v>624</v>
      </c>
      <c r="D63" s="1" t="s">
        <v>1</v>
      </c>
      <c r="F63" s="1" t="s">
        <v>153</v>
      </c>
      <c r="G63" s="9" t="str">
        <f t="shared" ref="G63" si="30">IF(E63="","",IF(E63=1,"L",IF(E63=2,"R","?")))</f>
        <v/>
      </c>
      <c r="H63" s="1" t="s">
        <v>1</v>
      </c>
      <c r="J63" s="1" t="s">
        <v>153</v>
      </c>
      <c r="K63" s="7" t="str">
        <f t="shared" ref="K63" si="31">IF(ISBLANK(I63),"",ROUND((700*I63)/800,0))</f>
        <v/>
      </c>
      <c r="L63" s="1" t="s">
        <v>1</v>
      </c>
      <c r="N63" s="1" t="s">
        <v>153</v>
      </c>
      <c r="O63" s="7" t="str">
        <f t="shared" ref="O63" si="32">IF(ISBLANK(M63),"",ROUND((525*(600-M63-147))/600,0))</f>
        <v/>
      </c>
      <c r="P63" s="1" t="s">
        <v>449</v>
      </c>
      <c r="Q63" s="11" t="s">
        <v>625</v>
      </c>
    </row>
    <row r="64" spans="2:17">
      <c r="B64" s="1" t="s">
        <v>0</v>
      </c>
      <c r="C64" s="3" t="s">
        <v>40</v>
      </c>
      <c r="D64" s="1" t="s">
        <v>1</v>
      </c>
      <c r="E64" s="4">
        <v>1</v>
      </c>
      <c r="F64" s="1" t="s">
        <v>153</v>
      </c>
      <c r="G64" s="9" t="str">
        <f t="shared" si="0"/>
        <v>L</v>
      </c>
      <c r="H64" s="1" t="s">
        <v>1</v>
      </c>
      <c r="I64" s="4">
        <v>262</v>
      </c>
      <c r="J64" s="1" t="s">
        <v>153</v>
      </c>
      <c r="K64" s="7">
        <f t="shared" si="1"/>
        <v>229</v>
      </c>
      <c r="L64" s="1" t="s">
        <v>1</v>
      </c>
      <c r="M64" s="1">
        <v>307</v>
      </c>
      <c r="N64" s="1" t="s">
        <v>153</v>
      </c>
      <c r="O64" s="7">
        <f t="shared" si="2"/>
        <v>128</v>
      </c>
      <c r="P64" s="1" t="s">
        <v>449</v>
      </c>
      <c r="Q64" s="2" t="s">
        <v>163</v>
      </c>
    </row>
    <row r="65" spans="2:17">
      <c r="B65" s="1" t="s">
        <v>0</v>
      </c>
      <c r="C65" s="3" t="s">
        <v>41</v>
      </c>
      <c r="D65" s="1" t="s">
        <v>1</v>
      </c>
      <c r="E65" s="4">
        <v>1</v>
      </c>
      <c r="F65" s="1" t="s">
        <v>153</v>
      </c>
      <c r="G65" s="9" t="str">
        <f t="shared" si="0"/>
        <v>L</v>
      </c>
      <c r="H65" s="1" t="s">
        <v>1</v>
      </c>
      <c r="I65" s="4">
        <v>101</v>
      </c>
      <c r="J65" s="1" t="s">
        <v>153</v>
      </c>
      <c r="K65" s="7">
        <f t="shared" si="1"/>
        <v>88</v>
      </c>
      <c r="L65" s="1" t="s">
        <v>1</v>
      </c>
      <c r="M65" s="1">
        <v>319</v>
      </c>
      <c r="N65" s="1" t="s">
        <v>153</v>
      </c>
      <c r="O65" s="7">
        <f t="shared" si="2"/>
        <v>117</v>
      </c>
      <c r="P65" s="1" t="s">
        <v>449</v>
      </c>
    </row>
    <row r="66" spans="2:17">
      <c r="B66" s="1" t="s">
        <v>0</v>
      </c>
      <c r="C66" s="3" t="s">
        <v>42</v>
      </c>
      <c r="D66" s="1" t="s">
        <v>1</v>
      </c>
      <c r="E66" s="4">
        <v>1</v>
      </c>
      <c r="F66" s="1" t="s">
        <v>153</v>
      </c>
      <c r="G66" s="9" t="str">
        <f t="shared" si="0"/>
        <v>L</v>
      </c>
      <c r="H66" s="1" t="s">
        <v>1</v>
      </c>
      <c r="I66" s="4">
        <v>262</v>
      </c>
      <c r="J66" s="1" t="s">
        <v>153</v>
      </c>
      <c r="K66" s="7">
        <f t="shared" si="1"/>
        <v>229</v>
      </c>
      <c r="L66" s="1" t="s">
        <v>1</v>
      </c>
      <c r="M66" s="1">
        <v>249</v>
      </c>
      <c r="N66" s="1" t="s">
        <v>153</v>
      </c>
      <c r="O66" s="7">
        <f t="shared" si="2"/>
        <v>179</v>
      </c>
      <c r="P66" s="1" t="s">
        <v>449</v>
      </c>
    </row>
    <row r="67" spans="2:17">
      <c r="B67" s="1" t="s">
        <v>0</v>
      </c>
      <c r="C67" s="3" t="s">
        <v>43</v>
      </c>
      <c r="D67" s="1" t="s">
        <v>1</v>
      </c>
      <c r="E67" s="4">
        <v>1</v>
      </c>
      <c r="F67" s="1" t="s">
        <v>153</v>
      </c>
      <c r="G67" s="9" t="str">
        <f t="shared" si="0"/>
        <v>L</v>
      </c>
      <c r="H67" s="1" t="s">
        <v>1</v>
      </c>
      <c r="I67" s="4">
        <v>101</v>
      </c>
      <c r="J67" s="1" t="s">
        <v>153</v>
      </c>
      <c r="K67" s="7">
        <f t="shared" si="1"/>
        <v>88</v>
      </c>
      <c r="L67" s="1" t="s">
        <v>1</v>
      </c>
      <c r="M67" s="1">
        <v>243</v>
      </c>
      <c r="N67" s="1" t="s">
        <v>153</v>
      </c>
      <c r="O67" s="7">
        <f t="shared" si="2"/>
        <v>184</v>
      </c>
      <c r="P67" s="1" t="s">
        <v>449</v>
      </c>
    </row>
    <row r="68" spans="2:17">
      <c r="B68" s="1" t="s">
        <v>0</v>
      </c>
      <c r="C68" s="3" t="s">
        <v>44</v>
      </c>
      <c r="D68" s="1" t="s">
        <v>1</v>
      </c>
      <c r="E68" s="4">
        <v>2</v>
      </c>
      <c r="F68" s="1" t="s">
        <v>153</v>
      </c>
      <c r="G68" s="9" t="str">
        <f t="shared" si="0"/>
        <v>R</v>
      </c>
      <c r="H68" s="1" t="s">
        <v>1</v>
      </c>
      <c r="I68" s="4">
        <v>371</v>
      </c>
      <c r="J68" s="1" t="s">
        <v>153</v>
      </c>
      <c r="K68" s="7">
        <f t="shared" si="1"/>
        <v>325</v>
      </c>
      <c r="L68" s="1" t="s">
        <v>1</v>
      </c>
      <c r="M68" s="1">
        <v>308</v>
      </c>
      <c r="N68" s="1" t="s">
        <v>153</v>
      </c>
      <c r="O68" s="7">
        <f t="shared" si="2"/>
        <v>127</v>
      </c>
      <c r="P68" s="1" t="s">
        <v>449</v>
      </c>
      <c r="Q68" s="2" t="s">
        <v>191</v>
      </c>
    </row>
    <row r="69" spans="2:17">
      <c r="B69" s="1" t="s">
        <v>0</v>
      </c>
      <c r="C69" s="3" t="s">
        <v>45</v>
      </c>
      <c r="D69" s="1" t="s">
        <v>1</v>
      </c>
      <c r="E69" s="4">
        <v>1</v>
      </c>
      <c r="F69" s="1" t="s">
        <v>153</v>
      </c>
      <c r="G69" s="9" t="str">
        <f t="shared" si="0"/>
        <v>L</v>
      </c>
      <c r="H69" s="1" t="s">
        <v>1</v>
      </c>
      <c r="I69" s="4">
        <v>323</v>
      </c>
      <c r="J69" s="1" t="s">
        <v>153</v>
      </c>
      <c r="K69" s="7">
        <f t="shared" si="1"/>
        <v>283</v>
      </c>
      <c r="L69" s="1" t="s">
        <v>1</v>
      </c>
      <c r="M69" s="1">
        <v>266</v>
      </c>
      <c r="N69" s="1" t="s">
        <v>153</v>
      </c>
      <c r="O69" s="7">
        <f t="shared" si="2"/>
        <v>164</v>
      </c>
      <c r="P69" s="1" t="s">
        <v>449</v>
      </c>
      <c r="Q69" s="2" t="s">
        <v>192</v>
      </c>
    </row>
    <row r="70" spans="2:17">
      <c r="B70" s="1" t="s">
        <v>0</v>
      </c>
      <c r="C70" s="3" t="s">
        <v>46</v>
      </c>
      <c r="D70" s="1" t="s">
        <v>1</v>
      </c>
      <c r="E70" s="4">
        <v>1</v>
      </c>
      <c r="F70" s="1" t="s">
        <v>153</v>
      </c>
      <c r="G70" s="9" t="str">
        <f t="shared" si="0"/>
        <v>L</v>
      </c>
      <c r="H70" s="1" t="s">
        <v>1</v>
      </c>
      <c r="I70" s="4">
        <v>275</v>
      </c>
      <c r="J70" s="1" t="s">
        <v>153</v>
      </c>
      <c r="K70" s="7">
        <f t="shared" si="1"/>
        <v>241</v>
      </c>
      <c r="L70" s="1" t="s">
        <v>1</v>
      </c>
      <c r="M70" s="1">
        <v>311</v>
      </c>
      <c r="N70" s="1" t="s">
        <v>153</v>
      </c>
      <c r="O70" s="7">
        <f t="shared" si="2"/>
        <v>124</v>
      </c>
      <c r="P70" s="1" t="s">
        <v>449</v>
      </c>
      <c r="Q70" s="2" t="s">
        <v>165</v>
      </c>
    </row>
    <row r="71" spans="2:17">
      <c r="B71" s="1" t="s">
        <v>0</v>
      </c>
      <c r="C71" s="3" t="s">
        <v>47</v>
      </c>
      <c r="D71" s="1" t="s">
        <v>1</v>
      </c>
      <c r="E71" s="4">
        <v>1</v>
      </c>
      <c r="F71" s="1" t="s">
        <v>153</v>
      </c>
      <c r="G71" s="9" t="str">
        <f t="shared" si="0"/>
        <v>L</v>
      </c>
      <c r="H71" s="1" t="s">
        <v>1</v>
      </c>
      <c r="I71" s="4">
        <v>217</v>
      </c>
      <c r="J71" s="1" t="s">
        <v>153</v>
      </c>
      <c r="K71" s="7">
        <f t="shared" si="1"/>
        <v>190</v>
      </c>
      <c r="L71" s="1" t="s">
        <v>1</v>
      </c>
      <c r="M71" s="1">
        <v>286</v>
      </c>
      <c r="N71" s="1" t="s">
        <v>153</v>
      </c>
      <c r="O71" s="7">
        <f t="shared" si="2"/>
        <v>146</v>
      </c>
      <c r="P71" s="1" t="s">
        <v>449</v>
      </c>
    </row>
    <row r="72" spans="2:17">
      <c r="B72" s="1" t="s">
        <v>0</v>
      </c>
      <c r="C72" s="3" t="s">
        <v>48</v>
      </c>
      <c r="D72" s="1" t="s">
        <v>1</v>
      </c>
      <c r="E72" s="4">
        <v>2</v>
      </c>
      <c r="F72" s="1" t="s">
        <v>153</v>
      </c>
      <c r="G72" s="9" t="str">
        <f t="shared" si="0"/>
        <v>R</v>
      </c>
      <c r="H72" s="1" t="s">
        <v>1</v>
      </c>
      <c r="I72" s="4">
        <v>407</v>
      </c>
      <c r="J72" s="1" t="s">
        <v>153</v>
      </c>
      <c r="K72" s="7">
        <f t="shared" si="1"/>
        <v>356</v>
      </c>
      <c r="L72" s="1" t="s">
        <v>1</v>
      </c>
      <c r="M72" s="1">
        <v>195</v>
      </c>
      <c r="N72" s="1" t="s">
        <v>153</v>
      </c>
      <c r="O72" s="7">
        <f t="shared" si="2"/>
        <v>226</v>
      </c>
      <c r="P72" s="1" t="s">
        <v>449</v>
      </c>
      <c r="Q72" s="2" t="s">
        <v>166</v>
      </c>
    </row>
    <row r="73" spans="2:17">
      <c r="B73" s="1" t="s">
        <v>0</v>
      </c>
      <c r="C73" s="3" t="s">
        <v>49</v>
      </c>
      <c r="D73" s="1" t="s">
        <v>1</v>
      </c>
      <c r="E73" s="4">
        <v>2</v>
      </c>
      <c r="F73" s="1" t="s">
        <v>153</v>
      </c>
      <c r="G73" s="9" t="str">
        <f t="shared" si="0"/>
        <v>R</v>
      </c>
      <c r="H73" s="1" t="s">
        <v>1</v>
      </c>
      <c r="I73" s="4">
        <v>357</v>
      </c>
      <c r="J73" s="1" t="s">
        <v>153</v>
      </c>
      <c r="K73" s="7">
        <f t="shared" si="1"/>
        <v>312</v>
      </c>
      <c r="L73" s="1" t="s">
        <v>1</v>
      </c>
      <c r="M73" s="1">
        <v>294</v>
      </c>
      <c r="N73" s="1" t="s">
        <v>153</v>
      </c>
      <c r="O73" s="7">
        <f t="shared" si="2"/>
        <v>139</v>
      </c>
      <c r="P73" s="1" t="s">
        <v>449</v>
      </c>
    </row>
    <row r="74" spans="2:17">
      <c r="B74" s="1" t="s">
        <v>0</v>
      </c>
      <c r="C74" s="3" t="s">
        <v>50</v>
      </c>
      <c r="D74" s="1" t="s">
        <v>1</v>
      </c>
      <c r="E74" s="4">
        <v>1</v>
      </c>
      <c r="F74" s="1" t="s">
        <v>153</v>
      </c>
      <c r="G74" s="9" t="str">
        <f t="shared" si="0"/>
        <v>L</v>
      </c>
      <c r="H74" s="1" t="s">
        <v>1</v>
      </c>
      <c r="I74" s="4">
        <v>101</v>
      </c>
      <c r="J74" s="1" t="s">
        <v>153</v>
      </c>
      <c r="K74" s="7">
        <f t="shared" si="1"/>
        <v>88</v>
      </c>
      <c r="L74" s="1" t="s">
        <v>1</v>
      </c>
      <c r="M74" s="1">
        <v>224</v>
      </c>
      <c r="N74" s="1" t="s">
        <v>153</v>
      </c>
      <c r="O74" s="7">
        <f t="shared" si="2"/>
        <v>200</v>
      </c>
      <c r="P74" s="1" t="s">
        <v>449</v>
      </c>
      <c r="Q74" s="2" t="s">
        <v>164</v>
      </c>
    </row>
    <row r="75" spans="2:17">
      <c r="B75" s="1" t="s">
        <v>0</v>
      </c>
      <c r="C75" s="3" t="s">
        <v>51</v>
      </c>
      <c r="D75" s="1" t="s">
        <v>1</v>
      </c>
      <c r="E75" s="4">
        <v>1</v>
      </c>
      <c r="F75" s="1" t="s">
        <v>153</v>
      </c>
      <c r="G75" s="9" t="str">
        <f t="shared" si="0"/>
        <v>L</v>
      </c>
      <c r="H75" s="1" t="s">
        <v>1</v>
      </c>
      <c r="I75" s="4">
        <v>171</v>
      </c>
      <c r="J75" s="1" t="s">
        <v>153</v>
      </c>
      <c r="K75" s="7">
        <f t="shared" si="1"/>
        <v>150</v>
      </c>
      <c r="L75" s="1" t="s">
        <v>1</v>
      </c>
      <c r="M75" s="1">
        <v>233</v>
      </c>
      <c r="N75" s="1" t="s">
        <v>153</v>
      </c>
      <c r="O75" s="7">
        <f t="shared" si="2"/>
        <v>193</v>
      </c>
      <c r="P75" s="1" t="s">
        <v>449</v>
      </c>
    </row>
    <row r="76" spans="2:17">
      <c r="B76" s="1" t="s">
        <v>0</v>
      </c>
      <c r="C76" s="3" t="s">
        <v>52</v>
      </c>
      <c r="D76" s="1" t="s">
        <v>1</v>
      </c>
      <c r="E76" s="4">
        <v>1</v>
      </c>
      <c r="F76" s="1" t="s">
        <v>153</v>
      </c>
      <c r="G76" s="9" t="str">
        <f t="shared" si="0"/>
        <v>L</v>
      </c>
      <c r="H76" s="1" t="s">
        <v>1</v>
      </c>
      <c r="I76" s="4">
        <v>40</v>
      </c>
      <c r="J76" s="1" t="s">
        <v>153</v>
      </c>
      <c r="K76" s="7">
        <f t="shared" si="1"/>
        <v>35</v>
      </c>
      <c r="L76" s="1" t="s">
        <v>1</v>
      </c>
      <c r="M76" s="1">
        <v>275</v>
      </c>
      <c r="N76" s="1" t="s">
        <v>153</v>
      </c>
      <c r="O76" s="7">
        <f t="shared" si="2"/>
        <v>156</v>
      </c>
      <c r="P76" s="1" t="s">
        <v>449</v>
      </c>
    </row>
    <row r="77" spans="2:17">
      <c r="B77" s="1" t="s">
        <v>0</v>
      </c>
      <c r="C77" s="3" t="s">
        <v>53</v>
      </c>
      <c r="D77" s="1" t="s">
        <v>1</v>
      </c>
      <c r="E77" s="4">
        <v>1</v>
      </c>
      <c r="F77" s="1" t="s">
        <v>153</v>
      </c>
      <c r="G77" s="9" t="str">
        <f t="shared" si="0"/>
        <v>L</v>
      </c>
      <c r="H77" s="1" t="s">
        <v>1</v>
      </c>
      <c r="I77" s="4">
        <v>179</v>
      </c>
      <c r="J77" s="1" t="s">
        <v>153</v>
      </c>
      <c r="K77" s="7">
        <f t="shared" si="1"/>
        <v>157</v>
      </c>
      <c r="L77" s="1" t="s">
        <v>1</v>
      </c>
      <c r="M77" s="1">
        <v>225</v>
      </c>
      <c r="N77" s="1" t="s">
        <v>153</v>
      </c>
      <c r="O77" s="7">
        <f t="shared" si="2"/>
        <v>200</v>
      </c>
      <c r="P77" s="1" t="s">
        <v>449</v>
      </c>
    </row>
    <row r="78" spans="2:17">
      <c r="B78" s="1" t="s">
        <v>0</v>
      </c>
      <c r="C78" s="3" t="s">
        <v>54</v>
      </c>
      <c r="D78" s="1" t="s">
        <v>1</v>
      </c>
      <c r="E78" s="4">
        <v>1</v>
      </c>
      <c r="F78" s="1" t="s">
        <v>153</v>
      </c>
      <c r="G78" s="9" t="str">
        <f t="shared" si="0"/>
        <v>L</v>
      </c>
      <c r="H78" s="1" t="s">
        <v>1</v>
      </c>
      <c r="I78" s="4">
        <v>152</v>
      </c>
      <c r="J78" s="1" t="s">
        <v>153</v>
      </c>
      <c r="K78" s="7">
        <f t="shared" si="1"/>
        <v>133</v>
      </c>
      <c r="L78" s="1" t="s">
        <v>1</v>
      </c>
      <c r="M78" s="1">
        <v>193</v>
      </c>
      <c r="N78" s="1" t="s">
        <v>153</v>
      </c>
      <c r="O78" s="7">
        <f t="shared" si="2"/>
        <v>228</v>
      </c>
      <c r="P78" s="1" t="s">
        <v>449</v>
      </c>
    </row>
    <row r="79" spans="2:17">
      <c r="B79" s="1" t="s">
        <v>0</v>
      </c>
      <c r="C79" s="3" t="s">
        <v>55</v>
      </c>
      <c r="D79" s="1" t="s">
        <v>1</v>
      </c>
      <c r="E79" s="4">
        <v>1</v>
      </c>
      <c r="F79" s="1" t="s">
        <v>153</v>
      </c>
      <c r="G79" s="9" t="str">
        <f t="shared" si="0"/>
        <v>L</v>
      </c>
      <c r="H79" s="1" t="s">
        <v>1</v>
      </c>
      <c r="I79" s="4">
        <v>142</v>
      </c>
      <c r="J79" s="1" t="s">
        <v>153</v>
      </c>
      <c r="K79" s="7">
        <f t="shared" si="1"/>
        <v>124</v>
      </c>
      <c r="L79" s="1" t="s">
        <v>1</v>
      </c>
      <c r="M79" s="1">
        <v>256</v>
      </c>
      <c r="N79" s="1" t="s">
        <v>153</v>
      </c>
      <c r="O79" s="7">
        <f t="shared" si="2"/>
        <v>172</v>
      </c>
      <c r="P79" s="1" t="s">
        <v>449</v>
      </c>
    </row>
    <row r="80" spans="2:17">
      <c r="B80" s="1" t="s">
        <v>0</v>
      </c>
      <c r="C80" s="3" t="s">
        <v>56</v>
      </c>
      <c r="D80" s="1" t="s">
        <v>1</v>
      </c>
      <c r="E80" s="4">
        <v>1</v>
      </c>
      <c r="F80" s="1" t="s">
        <v>153</v>
      </c>
      <c r="G80" s="9" t="str">
        <f t="shared" si="0"/>
        <v>L</v>
      </c>
      <c r="H80" s="1" t="s">
        <v>1</v>
      </c>
      <c r="I80" s="4">
        <v>158</v>
      </c>
      <c r="J80" s="1" t="s">
        <v>153</v>
      </c>
      <c r="K80" s="7">
        <f t="shared" si="1"/>
        <v>138</v>
      </c>
      <c r="L80" s="1" t="s">
        <v>1</v>
      </c>
      <c r="M80" s="1">
        <v>232</v>
      </c>
      <c r="N80" s="1" t="s">
        <v>153</v>
      </c>
      <c r="O80" s="7">
        <f t="shared" si="2"/>
        <v>193</v>
      </c>
      <c r="P80" s="1" t="s">
        <v>449</v>
      </c>
    </row>
    <row r="81" spans="2:17">
      <c r="B81" s="1" t="s">
        <v>0</v>
      </c>
      <c r="C81" s="3" t="s">
        <v>57</v>
      </c>
      <c r="D81" s="1" t="s">
        <v>1</v>
      </c>
      <c r="E81" s="4">
        <v>1</v>
      </c>
      <c r="F81" s="1" t="s">
        <v>153</v>
      </c>
      <c r="G81" s="9" t="str">
        <f t="shared" ref="G81:G141" si="33">IF(E81="","",IF(E81=1,"L",IF(E81=2,"R","?")))</f>
        <v>L</v>
      </c>
      <c r="H81" s="1" t="s">
        <v>1</v>
      </c>
      <c r="I81" s="4">
        <v>162</v>
      </c>
      <c r="J81" s="1" t="s">
        <v>153</v>
      </c>
      <c r="K81" s="7">
        <f t="shared" ref="K81:K141" si="34">IF(ISBLANK(I81),"",ROUND((700*I81)/800,0))</f>
        <v>142</v>
      </c>
      <c r="L81" s="1" t="s">
        <v>1</v>
      </c>
      <c r="M81" s="1">
        <v>234</v>
      </c>
      <c r="N81" s="1" t="s">
        <v>153</v>
      </c>
      <c r="O81" s="7">
        <f t="shared" si="2"/>
        <v>192</v>
      </c>
      <c r="P81" s="1" t="s">
        <v>449</v>
      </c>
      <c r="Q81" s="2" t="s">
        <v>193</v>
      </c>
    </row>
    <row r="82" spans="2:17">
      <c r="B82" s="1" t="s">
        <v>0</v>
      </c>
      <c r="C82" s="3" t="s">
        <v>58</v>
      </c>
      <c r="D82" s="1" t="s">
        <v>1</v>
      </c>
      <c r="E82" s="4">
        <v>1</v>
      </c>
      <c r="F82" s="1" t="s">
        <v>153</v>
      </c>
      <c r="G82" s="9" t="str">
        <f t="shared" si="33"/>
        <v>L</v>
      </c>
      <c r="H82" s="1" t="s">
        <v>1</v>
      </c>
      <c r="I82" s="4">
        <v>116</v>
      </c>
      <c r="J82" s="1" t="s">
        <v>153</v>
      </c>
      <c r="K82" s="7">
        <f t="shared" si="34"/>
        <v>102</v>
      </c>
      <c r="L82" s="1" t="s">
        <v>1</v>
      </c>
      <c r="M82" s="1">
        <v>251</v>
      </c>
      <c r="N82" s="1" t="s">
        <v>153</v>
      </c>
      <c r="O82" s="7">
        <f t="shared" si="2"/>
        <v>177</v>
      </c>
      <c r="P82" s="1" t="s">
        <v>449</v>
      </c>
      <c r="Q82" s="2" t="s">
        <v>194</v>
      </c>
    </row>
    <row r="83" spans="2:17">
      <c r="B83" s="1" t="s">
        <v>0</v>
      </c>
      <c r="C83" s="3" t="s">
        <v>59</v>
      </c>
      <c r="D83" s="1" t="s">
        <v>1</v>
      </c>
      <c r="E83" s="4">
        <v>1</v>
      </c>
      <c r="F83" s="1" t="s">
        <v>153</v>
      </c>
      <c r="G83" s="9" t="str">
        <f t="shared" si="33"/>
        <v>L</v>
      </c>
      <c r="H83" s="1" t="s">
        <v>1</v>
      </c>
      <c r="I83" s="4">
        <v>151</v>
      </c>
      <c r="J83" s="1" t="s">
        <v>153</v>
      </c>
      <c r="K83" s="7">
        <f t="shared" si="34"/>
        <v>132</v>
      </c>
      <c r="L83" s="1" t="s">
        <v>1</v>
      </c>
      <c r="M83" s="1">
        <v>217</v>
      </c>
      <c r="N83" s="1" t="s">
        <v>153</v>
      </c>
      <c r="O83" s="7">
        <f t="shared" si="2"/>
        <v>207</v>
      </c>
      <c r="P83" s="1" t="s">
        <v>449</v>
      </c>
      <c r="Q83" s="2" t="s">
        <v>195</v>
      </c>
    </row>
    <row r="84" spans="2:17">
      <c r="B84" s="1" t="s">
        <v>0</v>
      </c>
      <c r="C84" s="3" t="s">
        <v>60</v>
      </c>
      <c r="D84" s="1" t="s">
        <v>1</v>
      </c>
      <c r="E84" s="4">
        <v>1</v>
      </c>
      <c r="F84" s="1" t="s">
        <v>153</v>
      </c>
      <c r="G84" s="9" t="str">
        <f t="shared" si="33"/>
        <v>L</v>
      </c>
      <c r="H84" s="1" t="s">
        <v>1</v>
      </c>
      <c r="I84" s="4">
        <v>111</v>
      </c>
      <c r="J84" s="1" t="s">
        <v>153</v>
      </c>
      <c r="K84" s="7">
        <f t="shared" si="34"/>
        <v>97</v>
      </c>
      <c r="L84" s="1" t="s">
        <v>1</v>
      </c>
      <c r="M84" s="1">
        <v>203</v>
      </c>
      <c r="N84" s="1" t="s">
        <v>153</v>
      </c>
      <c r="O84" s="7">
        <f t="shared" si="2"/>
        <v>219</v>
      </c>
      <c r="P84" s="1" t="s">
        <v>449</v>
      </c>
      <c r="Q84" s="2" t="s">
        <v>196</v>
      </c>
    </row>
    <row r="85" spans="2:17">
      <c r="B85" s="1" t="s">
        <v>0</v>
      </c>
      <c r="C85" s="3" t="s">
        <v>61</v>
      </c>
      <c r="D85" s="1" t="s">
        <v>1</v>
      </c>
      <c r="E85" s="4">
        <v>1</v>
      </c>
      <c r="F85" s="1" t="s">
        <v>153</v>
      </c>
      <c r="G85" s="9" t="str">
        <f t="shared" si="33"/>
        <v>L</v>
      </c>
      <c r="H85" s="1" t="s">
        <v>1</v>
      </c>
      <c r="I85" s="4">
        <v>143</v>
      </c>
      <c r="J85" s="1" t="s">
        <v>153</v>
      </c>
      <c r="K85" s="7">
        <f t="shared" si="34"/>
        <v>125</v>
      </c>
      <c r="L85" s="1" t="s">
        <v>1</v>
      </c>
      <c r="M85" s="1">
        <v>279</v>
      </c>
      <c r="N85" s="1" t="s">
        <v>153</v>
      </c>
      <c r="O85" s="7">
        <f t="shared" si="2"/>
        <v>152</v>
      </c>
      <c r="P85" s="1" t="s">
        <v>449</v>
      </c>
      <c r="Q85" s="2" t="s">
        <v>197</v>
      </c>
    </row>
    <row r="86" spans="2:17">
      <c r="B86" s="1" t="s">
        <v>0</v>
      </c>
      <c r="C86" s="3" t="s">
        <v>62</v>
      </c>
      <c r="D86" s="1" t="s">
        <v>1</v>
      </c>
      <c r="E86" s="4">
        <v>1</v>
      </c>
      <c r="F86" s="1" t="s">
        <v>153</v>
      </c>
      <c r="G86" s="9" t="str">
        <f t="shared" si="33"/>
        <v>L</v>
      </c>
      <c r="H86" s="1" t="s">
        <v>1</v>
      </c>
      <c r="I86" s="4">
        <v>150</v>
      </c>
      <c r="J86" s="1" t="s">
        <v>153</v>
      </c>
      <c r="K86" s="7">
        <f t="shared" si="34"/>
        <v>131</v>
      </c>
      <c r="L86" s="1" t="s">
        <v>1</v>
      </c>
      <c r="M86" s="1">
        <v>232</v>
      </c>
      <c r="N86" s="1" t="s">
        <v>153</v>
      </c>
      <c r="O86" s="7">
        <f t="shared" si="2"/>
        <v>193</v>
      </c>
      <c r="P86" s="1" t="s">
        <v>449</v>
      </c>
      <c r="Q86" s="2" t="s">
        <v>198</v>
      </c>
    </row>
    <row r="87" spans="2:17">
      <c r="B87" s="1" t="s">
        <v>0</v>
      </c>
      <c r="C87" s="3" t="s">
        <v>63</v>
      </c>
      <c r="D87" s="1" t="s">
        <v>1</v>
      </c>
      <c r="E87" s="4">
        <v>1</v>
      </c>
      <c r="F87" s="1" t="s">
        <v>153</v>
      </c>
      <c r="G87" s="9" t="str">
        <f t="shared" si="33"/>
        <v>L</v>
      </c>
      <c r="H87" s="1" t="s">
        <v>1</v>
      </c>
      <c r="I87" s="4">
        <v>202</v>
      </c>
      <c r="J87" s="1" t="s">
        <v>153</v>
      </c>
      <c r="K87" s="7">
        <f t="shared" si="34"/>
        <v>177</v>
      </c>
      <c r="L87" s="1" t="s">
        <v>1</v>
      </c>
      <c r="M87" s="1">
        <v>223</v>
      </c>
      <c r="N87" s="1" t="s">
        <v>153</v>
      </c>
      <c r="O87" s="7">
        <f t="shared" si="2"/>
        <v>201</v>
      </c>
      <c r="P87" s="1" t="s">
        <v>449</v>
      </c>
      <c r="Q87" s="2" t="s">
        <v>199</v>
      </c>
    </row>
    <row r="88" spans="2:17">
      <c r="B88" s="1" t="s">
        <v>0</v>
      </c>
      <c r="C88" s="3" t="s">
        <v>64</v>
      </c>
      <c r="D88" s="1" t="s">
        <v>1</v>
      </c>
      <c r="E88" s="4">
        <v>1</v>
      </c>
      <c r="F88" s="1" t="s">
        <v>153</v>
      </c>
      <c r="G88" s="9" t="str">
        <f t="shared" si="33"/>
        <v>L</v>
      </c>
      <c r="H88" s="1" t="s">
        <v>1</v>
      </c>
      <c r="I88" s="4">
        <v>105</v>
      </c>
      <c r="J88" s="1" t="s">
        <v>153</v>
      </c>
      <c r="K88" s="7">
        <f t="shared" si="34"/>
        <v>92</v>
      </c>
      <c r="L88" s="1" t="s">
        <v>1</v>
      </c>
      <c r="M88" s="1">
        <v>225</v>
      </c>
      <c r="N88" s="1" t="s">
        <v>153</v>
      </c>
      <c r="O88" s="7">
        <f t="shared" ref="O88:O161" si="35">IF(ISBLANK(M88),"",ROUND((525*(600-M88-147))/600,0))</f>
        <v>200</v>
      </c>
      <c r="P88" s="1" t="s">
        <v>449</v>
      </c>
      <c r="Q88" s="2" t="s">
        <v>167</v>
      </c>
    </row>
    <row r="89" spans="2:17">
      <c r="B89" s="1" t="s">
        <v>0</v>
      </c>
      <c r="C89" s="3" t="s">
        <v>65</v>
      </c>
      <c r="D89" s="1" t="s">
        <v>1</v>
      </c>
      <c r="E89" s="4">
        <v>1</v>
      </c>
      <c r="F89" s="1" t="s">
        <v>153</v>
      </c>
      <c r="G89" s="9" t="str">
        <f t="shared" si="33"/>
        <v>L</v>
      </c>
      <c r="H89" s="1" t="s">
        <v>1</v>
      </c>
      <c r="I89" s="4">
        <v>92</v>
      </c>
      <c r="J89" s="1" t="s">
        <v>153</v>
      </c>
      <c r="K89" s="7">
        <f t="shared" si="34"/>
        <v>81</v>
      </c>
      <c r="L89" s="1" t="s">
        <v>1</v>
      </c>
      <c r="M89" s="1">
        <v>223</v>
      </c>
      <c r="N89" s="1" t="s">
        <v>153</v>
      </c>
      <c r="O89" s="7">
        <f t="shared" si="35"/>
        <v>201</v>
      </c>
      <c r="P89" s="1" t="s">
        <v>449</v>
      </c>
    </row>
    <row r="90" spans="2:17">
      <c r="B90" s="1" t="s">
        <v>0</v>
      </c>
      <c r="C90" s="3" t="s">
        <v>66</v>
      </c>
      <c r="D90" s="1" t="s">
        <v>1</v>
      </c>
      <c r="E90" s="4">
        <v>2</v>
      </c>
      <c r="F90" s="1" t="s">
        <v>153</v>
      </c>
      <c r="G90" s="9" t="str">
        <f t="shared" si="33"/>
        <v>R</v>
      </c>
      <c r="H90" s="1" t="s">
        <v>1</v>
      </c>
      <c r="I90" s="4">
        <v>531</v>
      </c>
      <c r="J90" s="1" t="s">
        <v>153</v>
      </c>
      <c r="K90" s="7">
        <f t="shared" si="34"/>
        <v>465</v>
      </c>
      <c r="L90" s="1" t="s">
        <v>1</v>
      </c>
      <c r="M90" s="1">
        <v>207</v>
      </c>
      <c r="N90" s="1" t="s">
        <v>153</v>
      </c>
      <c r="O90" s="7">
        <f t="shared" si="35"/>
        <v>215</v>
      </c>
      <c r="P90" s="1" t="s">
        <v>449</v>
      </c>
    </row>
    <row r="91" spans="2:17">
      <c r="B91" s="1" t="s">
        <v>0</v>
      </c>
      <c r="C91" s="3" t="s">
        <v>67</v>
      </c>
      <c r="D91" s="1" t="s">
        <v>1</v>
      </c>
      <c r="E91" s="4">
        <v>1</v>
      </c>
      <c r="F91" s="1" t="s">
        <v>153</v>
      </c>
      <c r="G91" s="9" t="str">
        <f t="shared" si="33"/>
        <v>L</v>
      </c>
      <c r="H91" s="1" t="s">
        <v>1</v>
      </c>
      <c r="I91" s="4">
        <v>214</v>
      </c>
      <c r="J91" s="1" t="s">
        <v>153</v>
      </c>
      <c r="K91" s="7">
        <f t="shared" si="34"/>
        <v>187</v>
      </c>
      <c r="L91" s="1" t="s">
        <v>1</v>
      </c>
      <c r="M91" s="1">
        <v>223</v>
      </c>
      <c r="N91" s="1" t="s">
        <v>153</v>
      </c>
      <c r="O91" s="7">
        <f t="shared" si="35"/>
        <v>201</v>
      </c>
      <c r="P91" s="1" t="s">
        <v>449</v>
      </c>
      <c r="Q91" s="2" t="s">
        <v>168</v>
      </c>
    </row>
    <row r="92" spans="2:17">
      <c r="B92" s="1" t="s">
        <v>0</v>
      </c>
      <c r="C92" s="3" t="s">
        <v>68</v>
      </c>
      <c r="D92" s="1" t="s">
        <v>1</v>
      </c>
      <c r="E92" s="4">
        <v>1</v>
      </c>
      <c r="F92" s="1" t="s">
        <v>153</v>
      </c>
      <c r="G92" s="9" t="str">
        <f t="shared" si="33"/>
        <v>L</v>
      </c>
      <c r="H92" s="1" t="s">
        <v>1</v>
      </c>
      <c r="I92" s="4">
        <v>134</v>
      </c>
      <c r="J92" s="1" t="s">
        <v>153</v>
      </c>
      <c r="K92" s="7">
        <f t="shared" si="34"/>
        <v>117</v>
      </c>
      <c r="L92" s="1" t="s">
        <v>1</v>
      </c>
      <c r="M92" s="1">
        <v>249</v>
      </c>
      <c r="N92" s="1" t="s">
        <v>153</v>
      </c>
      <c r="O92" s="7">
        <f t="shared" si="35"/>
        <v>179</v>
      </c>
      <c r="P92" s="1" t="s">
        <v>449</v>
      </c>
      <c r="Q92" s="2" t="s">
        <v>169</v>
      </c>
    </row>
    <row r="93" spans="2:17">
      <c r="B93" s="1" t="s">
        <v>0</v>
      </c>
      <c r="C93" s="3" t="s">
        <v>69</v>
      </c>
      <c r="D93" s="1" t="s">
        <v>1</v>
      </c>
      <c r="E93" s="4">
        <v>1</v>
      </c>
      <c r="F93" s="1" t="s">
        <v>153</v>
      </c>
      <c r="G93" s="9" t="str">
        <f t="shared" si="33"/>
        <v>L</v>
      </c>
      <c r="H93" s="1" t="s">
        <v>1</v>
      </c>
      <c r="I93" s="4">
        <v>287</v>
      </c>
      <c r="J93" s="1" t="s">
        <v>153</v>
      </c>
      <c r="K93" s="7">
        <f t="shared" si="34"/>
        <v>251</v>
      </c>
      <c r="L93" s="1" t="s">
        <v>1</v>
      </c>
      <c r="M93" s="1">
        <v>240</v>
      </c>
      <c r="N93" s="1" t="s">
        <v>153</v>
      </c>
      <c r="O93" s="7">
        <f t="shared" si="35"/>
        <v>186</v>
      </c>
      <c r="P93" s="1" t="s">
        <v>449</v>
      </c>
    </row>
    <row r="94" spans="2:17">
      <c r="B94" s="1" t="s">
        <v>0</v>
      </c>
      <c r="C94" s="3" t="s">
        <v>70</v>
      </c>
      <c r="D94" s="1" t="s">
        <v>1</v>
      </c>
      <c r="E94" s="4">
        <v>1</v>
      </c>
      <c r="F94" s="1" t="s">
        <v>153</v>
      </c>
      <c r="G94" s="9" t="str">
        <f t="shared" si="33"/>
        <v>L</v>
      </c>
      <c r="H94" s="1" t="s">
        <v>1</v>
      </c>
      <c r="I94" s="4">
        <v>256</v>
      </c>
      <c r="J94" s="1" t="s">
        <v>153</v>
      </c>
      <c r="K94" s="7">
        <f t="shared" si="34"/>
        <v>224</v>
      </c>
      <c r="L94" s="1" t="s">
        <v>1</v>
      </c>
      <c r="M94" s="1">
        <v>291</v>
      </c>
      <c r="N94" s="1" t="s">
        <v>153</v>
      </c>
      <c r="O94" s="7">
        <f t="shared" si="35"/>
        <v>142</v>
      </c>
      <c r="P94" s="1" t="s">
        <v>449</v>
      </c>
    </row>
    <row r="95" spans="2:17">
      <c r="B95" s="1" t="s">
        <v>0</v>
      </c>
      <c r="C95" s="3" t="s">
        <v>71</v>
      </c>
      <c r="D95" s="1" t="s">
        <v>1</v>
      </c>
      <c r="E95" s="4">
        <v>2</v>
      </c>
      <c r="F95" s="1" t="s">
        <v>153</v>
      </c>
      <c r="G95" s="9" t="str">
        <f t="shared" si="33"/>
        <v>R</v>
      </c>
      <c r="H95" s="1" t="s">
        <v>1</v>
      </c>
      <c r="I95" s="4">
        <v>445</v>
      </c>
      <c r="J95" s="1" t="s">
        <v>153</v>
      </c>
      <c r="K95" s="7">
        <f t="shared" si="34"/>
        <v>389</v>
      </c>
      <c r="L95" s="1" t="s">
        <v>1</v>
      </c>
      <c r="M95" s="1">
        <v>264</v>
      </c>
      <c r="N95" s="1" t="s">
        <v>153</v>
      </c>
      <c r="O95" s="7">
        <f t="shared" si="35"/>
        <v>165</v>
      </c>
      <c r="P95" s="1" t="s">
        <v>449</v>
      </c>
      <c r="Q95" s="2" t="s">
        <v>170</v>
      </c>
    </row>
    <row r="96" spans="2:17">
      <c r="B96" s="1" t="s">
        <v>0</v>
      </c>
      <c r="C96" s="3" t="s">
        <v>72</v>
      </c>
      <c r="D96" s="1" t="s">
        <v>1</v>
      </c>
      <c r="E96" s="4">
        <v>1</v>
      </c>
      <c r="F96" s="1" t="s">
        <v>153</v>
      </c>
      <c r="G96" s="9" t="str">
        <f t="shared" si="33"/>
        <v>L</v>
      </c>
      <c r="H96" s="1" t="s">
        <v>1</v>
      </c>
      <c r="I96" s="4">
        <v>149</v>
      </c>
      <c r="J96" s="1" t="s">
        <v>153</v>
      </c>
      <c r="K96" s="7">
        <f t="shared" si="34"/>
        <v>130</v>
      </c>
      <c r="L96" s="1" t="s">
        <v>1</v>
      </c>
      <c r="M96" s="1">
        <v>204</v>
      </c>
      <c r="N96" s="1" t="s">
        <v>153</v>
      </c>
      <c r="O96" s="7">
        <f t="shared" si="35"/>
        <v>218</v>
      </c>
      <c r="P96" s="1" t="s">
        <v>449</v>
      </c>
      <c r="Q96" s="2" t="s">
        <v>171</v>
      </c>
    </row>
    <row r="97" spans="2:17">
      <c r="B97" s="1" t="s">
        <v>0</v>
      </c>
      <c r="C97" s="3" t="s">
        <v>73</v>
      </c>
      <c r="D97" s="1" t="s">
        <v>1</v>
      </c>
      <c r="E97" s="4">
        <v>1</v>
      </c>
      <c r="F97" s="1" t="s">
        <v>153</v>
      </c>
      <c r="G97" s="9" t="str">
        <f t="shared" si="33"/>
        <v>L</v>
      </c>
      <c r="H97" s="1" t="s">
        <v>1</v>
      </c>
      <c r="I97" s="4">
        <v>144</v>
      </c>
      <c r="J97" s="1" t="s">
        <v>153</v>
      </c>
      <c r="K97" s="7">
        <f t="shared" si="34"/>
        <v>126</v>
      </c>
      <c r="L97" s="1" t="s">
        <v>1</v>
      </c>
      <c r="M97" s="1">
        <v>170</v>
      </c>
      <c r="N97" s="1" t="s">
        <v>153</v>
      </c>
      <c r="O97" s="7">
        <f t="shared" si="35"/>
        <v>248</v>
      </c>
      <c r="P97" s="1" t="s">
        <v>449</v>
      </c>
    </row>
    <row r="98" spans="2:17">
      <c r="B98" s="1" t="s">
        <v>0</v>
      </c>
      <c r="C98" s="3" t="s">
        <v>74</v>
      </c>
      <c r="D98" s="1" t="s">
        <v>1</v>
      </c>
      <c r="E98" s="4">
        <v>1</v>
      </c>
      <c r="F98" s="1" t="s">
        <v>153</v>
      </c>
      <c r="G98" s="9" t="str">
        <f t="shared" si="33"/>
        <v>L</v>
      </c>
      <c r="H98" s="1" t="s">
        <v>1</v>
      </c>
      <c r="I98" s="4">
        <v>148</v>
      </c>
      <c r="J98" s="1" t="s">
        <v>153</v>
      </c>
      <c r="K98" s="7">
        <f t="shared" si="34"/>
        <v>130</v>
      </c>
      <c r="L98" s="1" t="s">
        <v>1</v>
      </c>
      <c r="M98" s="1">
        <v>168</v>
      </c>
      <c r="N98" s="1" t="s">
        <v>153</v>
      </c>
      <c r="O98" s="7">
        <f t="shared" si="35"/>
        <v>249</v>
      </c>
      <c r="P98" s="1" t="s">
        <v>449</v>
      </c>
    </row>
    <row r="99" spans="2:17">
      <c r="B99" s="1" t="s">
        <v>0</v>
      </c>
      <c r="C99" s="3" t="s">
        <v>75</v>
      </c>
      <c r="D99" s="1" t="s">
        <v>1</v>
      </c>
      <c r="E99" s="4">
        <v>1</v>
      </c>
      <c r="F99" s="1" t="s">
        <v>153</v>
      </c>
      <c r="G99" s="9" t="str">
        <f t="shared" si="33"/>
        <v>L</v>
      </c>
      <c r="H99" s="1" t="s">
        <v>1</v>
      </c>
      <c r="I99" s="4">
        <v>163</v>
      </c>
      <c r="J99" s="1" t="s">
        <v>153</v>
      </c>
      <c r="K99" s="7">
        <f t="shared" si="34"/>
        <v>143</v>
      </c>
      <c r="L99" s="1" t="s">
        <v>1</v>
      </c>
      <c r="M99" s="1">
        <v>254</v>
      </c>
      <c r="N99" s="1" t="s">
        <v>153</v>
      </c>
      <c r="O99" s="7">
        <f t="shared" si="35"/>
        <v>174</v>
      </c>
      <c r="P99" s="1" t="s">
        <v>449</v>
      </c>
    </row>
    <row r="100" spans="2:17">
      <c r="B100" s="1" t="s">
        <v>0</v>
      </c>
      <c r="C100" s="3" t="s">
        <v>76</v>
      </c>
      <c r="D100" s="1" t="s">
        <v>1</v>
      </c>
      <c r="E100" s="4">
        <v>1</v>
      </c>
      <c r="F100" s="1" t="s">
        <v>153</v>
      </c>
      <c r="G100" s="9" t="str">
        <f t="shared" si="33"/>
        <v>L</v>
      </c>
      <c r="H100" s="1" t="s">
        <v>1</v>
      </c>
      <c r="I100" s="4">
        <v>203</v>
      </c>
      <c r="J100" s="1" t="s">
        <v>153</v>
      </c>
      <c r="K100" s="7">
        <f t="shared" si="34"/>
        <v>178</v>
      </c>
      <c r="L100" s="1" t="s">
        <v>1</v>
      </c>
      <c r="M100" s="1">
        <v>296</v>
      </c>
      <c r="N100" s="1" t="s">
        <v>153</v>
      </c>
      <c r="O100" s="7">
        <f t="shared" si="35"/>
        <v>137</v>
      </c>
      <c r="P100" s="1" t="s">
        <v>449</v>
      </c>
    </row>
    <row r="101" spans="2:17">
      <c r="B101" s="1" t="s">
        <v>0</v>
      </c>
      <c r="C101" s="3" t="s">
        <v>77</v>
      </c>
      <c r="D101" s="1" t="s">
        <v>1</v>
      </c>
      <c r="E101" s="4">
        <v>1</v>
      </c>
      <c r="F101" s="1" t="s">
        <v>153</v>
      </c>
      <c r="G101" s="9" t="str">
        <f t="shared" si="33"/>
        <v>L</v>
      </c>
      <c r="H101" s="1" t="s">
        <v>1</v>
      </c>
      <c r="I101" s="4">
        <v>207</v>
      </c>
      <c r="J101" s="1" t="s">
        <v>153</v>
      </c>
      <c r="K101" s="7">
        <f t="shared" si="34"/>
        <v>181</v>
      </c>
      <c r="L101" s="1" t="s">
        <v>1</v>
      </c>
      <c r="M101" s="1">
        <v>204</v>
      </c>
      <c r="N101" s="1" t="s">
        <v>153</v>
      </c>
      <c r="O101" s="7">
        <f t="shared" si="35"/>
        <v>218</v>
      </c>
      <c r="P101" s="1" t="s">
        <v>449</v>
      </c>
    </row>
    <row r="102" spans="2:17">
      <c r="B102" s="1" t="s">
        <v>0</v>
      </c>
      <c r="C102" s="3" t="s">
        <v>78</v>
      </c>
      <c r="D102" s="1" t="s">
        <v>1</v>
      </c>
      <c r="E102" s="4">
        <v>1</v>
      </c>
      <c r="F102" s="1" t="s">
        <v>153</v>
      </c>
      <c r="G102" s="9" t="str">
        <f t="shared" si="33"/>
        <v>L</v>
      </c>
      <c r="H102" s="1" t="s">
        <v>1</v>
      </c>
      <c r="I102" s="4">
        <v>297</v>
      </c>
      <c r="J102" s="1" t="s">
        <v>153</v>
      </c>
      <c r="K102" s="7">
        <f t="shared" si="34"/>
        <v>260</v>
      </c>
      <c r="L102" s="1" t="s">
        <v>1</v>
      </c>
      <c r="M102" s="1">
        <v>272</v>
      </c>
      <c r="N102" s="1" t="s">
        <v>153</v>
      </c>
      <c r="O102" s="7">
        <f t="shared" si="35"/>
        <v>158</v>
      </c>
      <c r="P102" s="1" t="s">
        <v>449</v>
      </c>
      <c r="Q102" s="11" t="s">
        <v>411</v>
      </c>
    </row>
    <row r="103" spans="2:17">
      <c r="B103" s="1" t="s">
        <v>0</v>
      </c>
      <c r="C103" s="3" t="s">
        <v>406</v>
      </c>
      <c r="D103" s="1" t="s">
        <v>1</v>
      </c>
      <c r="E103" s="4">
        <v>1</v>
      </c>
      <c r="F103" s="1" t="s">
        <v>153</v>
      </c>
      <c r="G103" s="9" t="str">
        <f t="shared" ref="G103:G107" si="36">IF(E103="","",IF(E103=1,"L",IF(E103=2,"R","?")))</f>
        <v>L</v>
      </c>
      <c r="H103" s="1" t="s">
        <v>1</v>
      </c>
      <c r="I103" s="4">
        <v>302</v>
      </c>
      <c r="J103" s="1" t="s">
        <v>153</v>
      </c>
      <c r="K103" s="7">
        <f t="shared" ref="K103:K107" si="37">IF(ISBLANK(I103),"",ROUND((700*I103)/800,0))</f>
        <v>264</v>
      </c>
      <c r="L103" s="1" t="s">
        <v>1</v>
      </c>
      <c r="M103" s="1">
        <v>294</v>
      </c>
      <c r="N103" s="1" t="s">
        <v>153</v>
      </c>
      <c r="O103" s="7">
        <f t="shared" ref="O103:O107" si="38">IF(ISBLANK(M103),"",ROUND((525*(600-M103-147))/600,0))</f>
        <v>139</v>
      </c>
      <c r="P103" s="1" t="s">
        <v>449</v>
      </c>
      <c r="Q103" s="11" t="s">
        <v>412</v>
      </c>
    </row>
    <row r="104" spans="2:17">
      <c r="B104" s="1" t="s">
        <v>0</v>
      </c>
      <c r="C104" s="3" t="s">
        <v>407</v>
      </c>
      <c r="D104" s="1" t="s">
        <v>1</v>
      </c>
      <c r="E104" s="4">
        <v>1</v>
      </c>
      <c r="F104" s="1" t="s">
        <v>153</v>
      </c>
      <c r="G104" s="9" t="str">
        <f t="shared" si="36"/>
        <v>L</v>
      </c>
      <c r="H104" s="1" t="s">
        <v>1</v>
      </c>
      <c r="I104" s="4">
        <v>368</v>
      </c>
      <c r="J104" s="1" t="s">
        <v>153</v>
      </c>
      <c r="K104" s="7">
        <f t="shared" si="37"/>
        <v>322</v>
      </c>
      <c r="L104" s="1" t="s">
        <v>1</v>
      </c>
      <c r="M104" s="1">
        <v>281</v>
      </c>
      <c r="N104" s="1" t="s">
        <v>153</v>
      </c>
      <c r="O104" s="7">
        <f t="shared" si="38"/>
        <v>151</v>
      </c>
      <c r="P104" s="1" t="s">
        <v>449</v>
      </c>
      <c r="Q104" s="11" t="s">
        <v>413</v>
      </c>
    </row>
    <row r="105" spans="2:17">
      <c r="B105" s="1" t="s">
        <v>0</v>
      </c>
      <c r="C105" s="3" t="s">
        <v>408</v>
      </c>
      <c r="D105" s="1" t="s">
        <v>1</v>
      </c>
      <c r="E105" s="4">
        <v>2</v>
      </c>
      <c r="F105" s="1" t="s">
        <v>153</v>
      </c>
      <c r="G105" s="9" t="str">
        <f t="shared" si="36"/>
        <v>R</v>
      </c>
      <c r="H105" s="1" t="s">
        <v>1</v>
      </c>
      <c r="I105" s="4">
        <v>325</v>
      </c>
      <c r="J105" s="1" t="s">
        <v>153</v>
      </c>
      <c r="K105" s="7">
        <f t="shared" si="37"/>
        <v>284</v>
      </c>
      <c r="L105" s="1" t="s">
        <v>1</v>
      </c>
      <c r="M105" s="1">
        <v>292</v>
      </c>
      <c r="N105" s="1" t="s">
        <v>153</v>
      </c>
      <c r="O105" s="7">
        <f t="shared" si="38"/>
        <v>141</v>
      </c>
      <c r="P105" s="1" t="s">
        <v>449</v>
      </c>
      <c r="Q105" s="11" t="s">
        <v>414</v>
      </c>
    </row>
    <row r="106" spans="2:17">
      <c r="B106" s="1" t="s">
        <v>0</v>
      </c>
      <c r="C106" s="3" t="s">
        <v>409</v>
      </c>
      <c r="D106" s="1" t="s">
        <v>1</v>
      </c>
      <c r="E106" s="4">
        <v>2</v>
      </c>
      <c r="F106" s="1" t="s">
        <v>153</v>
      </c>
      <c r="G106" s="9" t="str">
        <f t="shared" si="36"/>
        <v>R</v>
      </c>
      <c r="H106" s="1" t="s">
        <v>1</v>
      </c>
      <c r="I106" s="4">
        <v>474</v>
      </c>
      <c r="J106" s="1" t="s">
        <v>153</v>
      </c>
      <c r="K106" s="7">
        <f t="shared" si="37"/>
        <v>415</v>
      </c>
      <c r="L106" s="1" t="s">
        <v>1</v>
      </c>
      <c r="M106" s="1">
        <v>297</v>
      </c>
      <c r="N106" s="1" t="s">
        <v>153</v>
      </c>
      <c r="O106" s="7">
        <f t="shared" si="38"/>
        <v>137</v>
      </c>
      <c r="P106" s="1" t="s">
        <v>449</v>
      </c>
      <c r="Q106" s="11" t="s">
        <v>415</v>
      </c>
    </row>
    <row r="107" spans="2:17">
      <c r="B107" s="1" t="s">
        <v>0</v>
      </c>
      <c r="C107" s="3" t="s">
        <v>410</v>
      </c>
      <c r="D107" s="1" t="s">
        <v>1</v>
      </c>
      <c r="E107" s="4">
        <v>1</v>
      </c>
      <c r="F107" s="1" t="s">
        <v>153</v>
      </c>
      <c r="G107" s="9" t="str">
        <f t="shared" si="36"/>
        <v>L</v>
      </c>
      <c r="H107" s="1" t="s">
        <v>1</v>
      </c>
      <c r="I107" s="4">
        <v>558</v>
      </c>
      <c r="J107" s="1" t="s">
        <v>153</v>
      </c>
      <c r="K107" s="7">
        <f t="shared" si="37"/>
        <v>488</v>
      </c>
      <c r="L107" s="1" t="s">
        <v>1</v>
      </c>
      <c r="M107" s="1">
        <v>279</v>
      </c>
      <c r="N107" s="1" t="s">
        <v>153</v>
      </c>
      <c r="O107" s="7">
        <f t="shared" si="38"/>
        <v>152</v>
      </c>
      <c r="P107" s="1" t="s">
        <v>449</v>
      </c>
      <c r="Q107" s="11" t="s">
        <v>416</v>
      </c>
    </row>
    <row r="108" spans="2:17">
      <c r="B108" s="1" t="s">
        <v>0</v>
      </c>
      <c r="C108" s="3" t="s">
        <v>79</v>
      </c>
      <c r="D108" s="1" t="s">
        <v>1</v>
      </c>
      <c r="E108" s="4">
        <v>1</v>
      </c>
      <c r="F108" s="1" t="s">
        <v>153</v>
      </c>
      <c r="G108" s="9" t="str">
        <f t="shared" si="33"/>
        <v>L</v>
      </c>
      <c r="H108" s="1" t="s">
        <v>1</v>
      </c>
      <c r="I108" s="4">
        <v>144</v>
      </c>
      <c r="J108" s="1" t="s">
        <v>153</v>
      </c>
      <c r="K108" s="7">
        <f t="shared" si="34"/>
        <v>126</v>
      </c>
      <c r="L108" s="1" t="s">
        <v>1</v>
      </c>
      <c r="M108" s="1">
        <v>264</v>
      </c>
      <c r="N108" s="1" t="s">
        <v>153</v>
      </c>
      <c r="O108" s="7">
        <f t="shared" si="35"/>
        <v>165</v>
      </c>
      <c r="P108" s="1" t="s">
        <v>449</v>
      </c>
      <c r="Q108" s="2" t="s">
        <v>172</v>
      </c>
    </row>
    <row r="109" spans="2:17">
      <c r="B109" s="1" t="s">
        <v>0</v>
      </c>
      <c r="C109" s="3" t="s">
        <v>80</v>
      </c>
      <c r="D109" s="1" t="s">
        <v>1</v>
      </c>
      <c r="E109" s="4">
        <v>2</v>
      </c>
      <c r="F109" s="1" t="s">
        <v>153</v>
      </c>
      <c r="G109" s="9" t="str">
        <f t="shared" si="33"/>
        <v>R</v>
      </c>
      <c r="H109" s="1" t="s">
        <v>1</v>
      </c>
      <c r="I109" s="4">
        <v>451</v>
      </c>
      <c r="J109" s="1" t="s">
        <v>153</v>
      </c>
      <c r="K109" s="7">
        <f t="shared" si="34"/>
        <v>395</v>
      </c>
      <c r="L109" s="1" t="s">
        <v>1</v>
      </c>
      <c r="M109" s="1">
        <v>175</v>
      </c>
      <c r="N109" s="1" t="s">
        <v>153</v>
      </c>
      <c r="O109" s="7">
        <f t="shared" si="35"/>
        <v>243</v>
      </c>
      <c r="P109" s="1" t="s">
        <v>449</v>
      </c>
      <c r="Q109" s="2" t="s">
        <v>173</v>
      </c>
    </row>
    <row r="110" spans="2:17">
      <c r="B110" s="1" t="s">
        <v>0</v>
      </c>
      <c r="C110" s="3" t="s">
        <v>81</v>
      </c>
      <c r="D110" s="1" t="s">
        <v>1</v>
      </c>
      <c r="E110" s="4">
        <v>1</v>
      </c>
      <c r="F110" s="1" t="s">
        <v>153</v>
      </c>
      <c r="G110" s="9" t="str">
        <f t="shared" si="33"/>
        <v>L</v>
      </c>
      <c r="H110" s="1" t="s">
        <v>1</v>
      </c>
      <c r="I110" s="4">
        <v>196</v>
      </c>
      <c r="J110" s="1" t="s">
        <v>153</v>
      </c>
      <c r="K110" s="7">
        <f t="shared" si="34"/>
        <v>172</v>
      </c>
      <c r="L110" s="1" t="s">
        <v>1</v>
      </c>
      <c r="M110" s="1">
        <v>296</v>
      </c>
      <c r="N110" s="1" t="s">
        <v>153</v>
      </c>
      <c r="O110" s="7">
        <f t="shared" si="35"/>
        <v>137</v>
      </c>
      <c r="P110" s="1" t="s">
        <v>449</v>
      </c>
    </row>
    <row r="111" spans="2:17">
      <c r="B111" s="1" t="s">
        <v>0</v>
      </c>
      <c r="C111" s="3" t="s">
        <v>82</v>
      </c>
      <c r="D111" s="1" t="s">
        <v>1</v>
      </c>
      <c r="E111" s="4">
        <v>1</v>
      </c>
      <c r="F111" s="1" t="s">
        <v>153</v>
      </c>
      <c r="G111" s="9" t="str">
        <f t="shared" si="33"/>
        <v>L</v>
      </c>
      <c r="H111" s="1" t="s">
        <v>1</v>
      </c>
      <c r="I111" s="4">
        <v>107</v>
      </c>
      <c r="J111" s="1" t="s">
        <v>153</v>
      </c>
      <c r="K111" s="7">
        <f t="shared" si="34"/>
        <v>94</v>
      </c>
      <c r="L111" s="1" t="s">
        <v>1</v>
      </c>
      <c r="M111" s="1">
        <v>259</v>
      </c>
      <c r="N111" s="1" t="s">
        <v>153</v>
      </c>
      <c r="O111" s="7">
        <f t="shared" si="35"/>
        <v>170</v>
      </c>
      <c r="P111" s="1" t="s">
        <v>449</v>
      </c>
    </row>
    <row r="112" spans="2:17">
      <c r="B112" s="1" t="s">
        <v>0</v>
      </c>
      <c r="C112" s="3" t="s">
        <v>83</v>
      </c>
      <c r="D112" s="1" t="s">
        <v>1</v>
      </c>
      <c r="E112" s="4">
        <v>2</v>
      </c>
      <c r="F112" s="1" t="s">
        <v>153</v>
      </c>
      <c r="G112" s="9" t="str">
        <f t="shared" si="33"/>
        <v>R</v>
      </c>
      <c r="H112" s="1" t="s">
        <v>1</v>
      </c>
      <c r="I112" s="4">
        <v>401</v>
      </c>
      <c r="J112" s="1" t="s">
        <v>153</v>
      </c>
      <c r="K112" s="7">
        <f t="shared" si="34"/>
        <v>351</v>
      </c>
      <c r="L112" s="1" t="s">
        <v>1</v>
      </c>
      <c r="M112" s="1">
        <v>275</v>
      </c>
      <c r="N112" s="1" t="s">
        <v>153</v>
      </c>
      <c r="O112" s="7">
        <f t="shared" si="35"/>
        <v>156</v>
      </c>
      <c r="P112" s="1" t="s">
        <v>449</v>
      </c>
      <c r="Q112" s="2" t="s">
        <v>200</v>
      </c>
    </row>
    <row r="113" spans="2:17">
      <c r="B113" s="1" t="s">
        <v>0</v>
      </c>
      <c r="C113" s="3" t="s">
        <v>84</v>
      </c>
      <c r="D113" s="1" t="s">
        <v>1</v>
      </c>
      <c r="E113" s="4">
        <v>2</v>
      </c>
      <c r="F113" s="1" t="s">
        <v>153</v>
      </c>
      <c r="G113" s="9" t="str">
        <f t="shared" si="33"/>
        <v>R</v>
      </c>
      <c r="H113" s="1" t="s">
        <v>1</v>
      </c>
      <c r="I113" s="4">
        <v>533</v>
      </c>
      <c r="J113" s="1" t="s">
        <v>153</v>
      </c>
      <c r="K113" s="7">
        <f t="shared" si="34"/>
        <v>466</v>
      </c>
      <c r="L113" s="1" t="s">
        <v>1</v>
      </c>
      <c r="M113" s="1">
        <v>252</v>
      </c>
      <c r="N113" s="1" t="s">
        <v>153</v>
      </c>
      <c r="O113" s="7">
        <f t="shared" si="35"/>
        <v>176</v>
      </c>
      <c r="P113" s="1" t="s">
        <v>449</v>
      </c>
    </row>
    <row r="114" spans="2:17">
      <c r="B114" s="1" t="s">
        <v>0</v>
      </c>
      <c r="C114" s="3" t="s">
        <v>85</v>
      </c>
      <c r="D114" s="1" t="s">
        <v>1</v>
      </c>
      <c r="E114" s="4">
        <v>2</v>
      </c>
      <c r="F114" s="1" t="s">
        <v>153</v>
      </c>
      <c r="G114" s="9" t="str">
        <f t="shared" si="33"/>
        <v>R</v>
      </c>
      <c r="H114" s="1" t="s">
        <v>1</v>
      </c>
      <c r="I114" s="4">
        <v>415</v>
      </c>
      <c r="J114" s="1" t="s">
        <v>153</v>
      </c>
      <c r="K114" s="7">
        <f t="shared" si="34"/>
        <v>363</v>
      </c>
      <c r="L114" s="1" t="s">
        <v>1</v>
      </c>
      <c r="M114" s="1">
        <v>323</v>
      </c>
      <c r="N114" s="1" t="s">
        <v>153</v>
      </c>
      <c r="O114" s="7">
        <f t="shared" si="35"/>
        <v>114</v>
      </c>
      <c r="P114" s="1" t="s">
        <v>449</v>
      </c>
      <c r="Q114" s="2" t="s">
        <v>174</v>
      </c>
    </row>
    <row r="115" spans="2:17">
      <c r="B115" s="1" t="s">
        <v>0</v>
      </c>
      <c r="C115" s="3" t="s">
        <v>86</v>
      </c>
      <c r="D115" s="1" t="s">
        <v>1</v>
      </c>
      <c r="E115" s="4">
        <v>1</v>
      </c>
      <c r="F115" s="1" t="s">
        <v>153</v>
      </c>
      <c r="G115" s="9" t="str">
        <f t="shared" si="33"/>
        <v>L</v>
      </c>
      <c r="H115" s="1" t="s">
        <v>1</v>
      </c>
      <c r="I115" s="4">
        <v>160</v>
      </c>
      <c r="J115" s="1" t="s">
        <v>153</v>
      </c>
      <c r="K115" s="7">
        <f t="shared" si="34"/>
        <v>140</v>
      </c>
      <c r="L115" s="1" t="s">
        <v>1</v>
      </c>
      <c r="M115" s="1">
        <v>290</v>
      </c>
      <c r="N115" s="1" t="s">
        <v>153</v>
      </c>
      <c r="O115" s="7">
        <f t="shared" si="35"/>
        <v>143</v>
      </c>
      <c r="P115" s="1" t="s">
        <v>449</v>
      </c>
      <c r="Q115" s="2" t="s">
        <v>175</v>
      </c>
    </row>
    <row r="116" spans="2:17">
      <c r="B116" s="1" t="s">
        <v>0</v>
      </c>
      <c r="C116" s="3" t="s">
        <v>87</v>
      </c>
      <c r="D116" s="1" t="s">
        <v>1</v>
      </c>
      <c r="E116" s="4">
        <v>1</v>
      </c>
      <c r="F116" s="1" t="s">
        <v>153</v>
      </c>
      <c r="G116" s="9" t="str">
        <f t="shared" si="33"/>
        <v>L</v>
      </c>
      <c r="H116" s="1" t="s">
        <v>1</v>
      </c>
      <c r="I116" s="4">
        <v>160</v>
      </c>
      <c r="J116" s="1" t="s">
        <v>153</v>
      </c>
      <c r="K116" s="7">
        <f t="shared" si="34"/>
        <v>140</v>
      </c>
      <c r="L116" s="1" t="s">
        <v>1</v>
      </c>
      <c r="M116" s="1">
        <v>295</v>
      </c>
      <c r="N116" s="1" t="s">
        <v>153</v>
      </c>
      <c r="O116" s="7">
        <f t="shared" si="35"/>
        <v>138</v>
      </c>
      <c r="P116" s="1" t="s">
        <v>449</v>
      </c>
    </row>
    <row r="117" spans="2:17">
      <c r="B117" s="1" t="s">
        <v>0</v>
      </c>
      <c r="C117" s="3" t="s">
        <v>88</v>
      </c>
      <c r="D117" s="1" t="s">
        <v>1</v>
      </c>
      <c r="E117" s="4">
        <v>1</v>
      </c>
      <c r="F117" s="1" t="s">
        <v>153</v>
      </c>
      <c r="G117" s="9" t="str">
        <f t="shared" si="33"/>
        <v>L</v>
      </c>
      <c r="H117" s="1" t="s">
        <v>1</v>
      </c>
      <c r="I117" s="4">
        <v>152</v>
      </c>
      <c r="J117" s="1" t="s">
        <v>153</v>
      </c>
      <c r="K117" s="7">
        <f t="shared" si="34"/>
        <v>133</v>
      </c>
      <c r="L117" s="1" t="s">
        <v>1</v>
      </c>
      <c r="M117" s="1">
        <v>306</v>
      </c>
      <c r="N117" s="1" t="s">
        <v>153</v>
      </c>
      <c r="O117" s="7">
        <f t="shared" si="35"/>
        <v>129</v>
      </c>
      <c r="P117" s="1" t="s">
        <v>449</v>
      </c>
    </row>
    <row r="118" spans="2:17">
      <c r="B118" s="1" t="s">
        <v>0</v>
      </c>
      <c r="C118" s="3" t="s">
        <v>89</v>
      </c>
      <c r="D118" s="1" t="s">
        <v>1</v>
      </c>
      <c r="E118" s="4">
        <v>2</v>
      </c>
      <c r="F118" s="1" t="s">
        <v>153</v>
      </c>
      <c r="G118" s="9" t="str">
        <f t="shared" si="33"/>
        <v>R</v>
      </c>
      <c r="H118" s="1" t="s">
        <v>1</v>
      </c>
      <c r="I118" s="4">
        <v>504</v>
      </c>
      <c r="J118" s="1" t="s">
        <v>153</v>
      </c>
      <c r="K118" s="7">
        <f t="shared" si="34"/>
        <v>441</v>
      </c>
      <c r="L118" s="1" t="s">
        <v>1</v>
      </c>
      <c r="M118" s="1">
        <v>281</v>
      </c>
      <c r="N118" s="1" t="s">
        <v>153</v>
      </c>
      <c r="O118" s="7">
        <f t="shared" si="35"/>
        <v>151</v>
      </c>
      <c r="P118" s="1" t="s">
        <v>449</v>
      </c>
      <c r="Q118" s="2" t="s">
        <v>176</v>
      </c>
    </row>
    <row r="119" spans="2:17">
      <c r="B119" s="1" t="s">
        <v>0</v>
      </c>
      <c r="C119" s="3" t="s">
        <v>90</v>
      </c>
      <c r="D119" s="1" t="s">
        <v>1</v>
      </c>
      <c r="E119" s="4">
        <v>2</v>
      </c>
      <c r="F119" s="1" t="s">
        <v>153</v>
      </c>
      <c r="G119" s="9" t="str">
        <f t="shared" si="33"/>
        <v>R</v>
      </c>
      <c r="H119" s="1" t="s">
        <v>1</v>
      </c>
      <c r="I119" s="4">
        <v>428</v>
      </c>
      <c r="J119" s="1" t="s">
        <v>153</v>
      </c>
      <c r="K119" s="7">
        <f t="shared" si="34"/>
        <v>375</v>
      </c>
      <c r="L119" s="1" t="s">
        <v>1</v>
      </c>
      <c r="M119" s="1">
        <v>257</v>
      </c>
      <c r="N119" s="1" t="s">
        <v>153</v>
      </c>
      <c r="O119" s="7">
        <f t="shared" si="35"/>
        <v>172</v>
      </c>
      <c r="P119" s="1" t="s">
        <v>449</v>
      </c>
    </row>
    <row r="120" spans="2:17">
      <c r="B120" s="1" t="s">
        <v>0</v>
      </c>
      <c r="C120" s="3" t="s">
        <v>91</v>
      </c>
      <c r="D120" s="1" t="s">
        <v>1</v>
      </c>
      <c r="E120" s="4">
        <v>2</v>
      </c>
      <c r="F120" s="1" t="s">
        <v>153</v>
      </c>
      <c r="G120" s="9" t="str">
        <f t="shared" si="33"/>
        <v>R</v>
      </c>
      <c r="H120" s="1" t="s">
        <v>1</v>
      </c>
      <c r="I120" s="4">
        <v>406</v>
      </c>
      <c r="J120" s="1" t="s">
        <v>153</v>
      </c>
      <c r="K120" s="7">
        <f t="shared" si="34"/>
        <v>355</v>
      </c>
      <c r="L120" s="1" t="s">
        <v>1</v>
      </c>
      <c r="M120" s="1">
        <v>362</v>
      </c>
      <c r="N120" s="1" t="s">
        <v>153</v>
      </c>
      <c r="O120" s="7">
        <f t="shared" si="35"/>
        <v>80</v>
      </c>
      <c r="P120" s="1" t="s">
        <v>449</v>
      </c>
    </row>
    <row r="121" spans="2:17">
      <c r="B121" s="1" t="s">
        <v>0</v>
      </c>
      <c r="C121" s="3" t="s">
        <v>92</v>
      </c>
      <c r="D121" s="1" t="s">
        <v>1</v>
      </c>
      <c r="E121" s="4">
        <v>1</v>
      </c>
      <c r="F121" s="1" t="s">
        <v>153</v>
      </c>
      <c r="G121" s="9" t="str">
        <f t="shared" si="33"/>
        <v>L</v>
      </c>
      <c r="H121" s="1" t="s">
        <v>1</v>
      </c>
      <c r="I121" s="4">
        <v>267</v>
      </c>
      <c r="J121" s="1" t="s">
        <v>153</v>
      </c>
      <c r="K121" s="7">
        <f t="shared" si="34"/>
        <v>234</v>
      </c>
      <c r="L121" s="1" t="s">
        <v>1</v>
      </c>
      <c r="M121" s="1">
        <v>269</v>
      </c>
      <c r="N121" s="1" t="s">
        <v>153</v>
      </c>
      <c r="O121" s="7">
        <f t="shared" si="35"/>
        <v>161</v>
      </c>
      <c r="P121" s="1" t="s">
        <v>449</v>
      </c>
    </row>
    <row r="122" spans="2:17">
      <c r="B122" s="1" t="s">
        <v>0</v>
      </c>
      <c r="C122" s="3" t="s">
        <v>93</v>
      </c>
      <c r="D122" s="1" t="s">
        <v>1</v>
      </c>
      <c r="E122" s="4">
        <v>1</v>
      </c>
      <c r="F122" s="1" t="s">
        <v>153</v>
      </c>
      <c r="G122" s="9" t="str">
        <f t="shared" si="33"/>
        <v>L</v>
      </c>
      <c r="H122" s="1" t="s">
        <v>1</v>
      </c>
      <c r="I122" s="4">
        <v>118</v>
      </c>
      <c r="J122" s="1" t="s">
        <v>153</v>
      </c>
      <c r="K122" s="7">
        <f t="shared" si="34"/>
        <v>103</v>
      </c>
      <c r="L122" s="1" t="s">
        <v>1</v>
      </c>
      <c r="M122" s="1">
        <v>284</v>
      </c>
      <c r="N122" s="1" t="s">
        <v>153</v>
      </c>
      <c r="O122" s="7">
        <f t="shared" si="35"/>
        <v>148</v>
      </c>
      <c r="P122" s="1" t="s">
        <v>449</v>
      </c>
      <c r="Q122" s="2" t="s">
        <v>177</v>
      </c>
    </row>
    <row r="123" spans="2:17">
      <c r="B123" s="1" t="s">
        <v>0</v>
      </c>
      <c r="C123" s="3" t="s">
        <v>94</v>
      </c>
      <c r="D123" s="1" t="s">
        <v>1</v>
      </c>
      <c r="E123" s="4">
        <v>2</v>
      </c>
      <c r="F123" s="1" t="s">
        <v>153</v>
      </c>
      <c r="G123" s="9" t="str">
        <f t="shared" si="33"/>
        <v>R</v>
      </c>
      <c r="H123" s="1" t="s">
        <v>1</v>
      </c>
      <c r="I123" s="4">
        <v>357</v>
      </c>
      <c r="J123" s="1" t="s">
        <v>153</v>
      </c>
      <c r="K123" s="7">
        <f t="shared" si="34"/>
        <v>312</v>
      </c>
      <c r="L123" s="1" t="s">
        <v>1</v>
      </c>
      <c r="M123" s="1">
        <v>260</v>
      </c>
      <c r="N123" s="1" t="s">
        <v>153</v>
      </c>
      <c r="O123" s="7">
        <f t="shared" si="35"/>
        <v>169</v>
      </c>
      <c r="P123" s="1" t="s">
        <v>449</v>
      </c>
      <c r="Q123" s="11" t="s">
        <v>422</v>
      </c>
    </row>
    <row r="124" spans="2:17">
      <c r="B124" s="1" t="s">
        <v>0</v>
      </c>
      <c r="C124" s="3" t="s">
        <v>417</v>
      </c>
      <c r="D124" s="1" t="s">
        <v>1</v>
      </c>
      <c r="E124" s="4">
        <v>2</v>
      </c>
      <c r="F124" s="1" t="s">
        <v>153</v>
      </c>
      <c r="G124" s="9" t="str">
        <f t="shared" ref="G124:G128" si="39">IF(E124="","",IF(E124=1,"L",IF(E124=2,"R","?")))</f>
        <v>R</v>
      </c>
      <c r="H124" s="1" t="s">
        <v>1</v>
      </c>
      <c r="I124" s="4">
        <v>304</v>
      </c>
      <c r="J124" s="1" t="s">
        <v>153</v>
      </c>
      <c r="K124" s="7">
        <f t="shared" ref="K124:K128" si="40">IF(ISBLANK(I124),"",ROUND((700*I124)/800,0))</f>
        <v>266</v>
      </c>
      <c r="L124" s="1" t="s">
        <v>1</v>
      </c>
      <c r="M124" s="1">
        <v>231</v>
      </c>
      <c r="N124" s="1" t="s">
        <v>153</v>
      </c>
      <c r="O124" s="7">
        <f t="shared" ref="O124:O128" si="41">IF(ISBLANK(M124),"",ROUND((525*(600-M124-147))/600,0))</f>
        <v>194</v>
      </c>
      <c r="P124" s="1" t="s">
        <v>449</v>
      </c>
      <c r="Q124" s="11" t="s">
        <v>423</v>
      </c>
    </row>
    <row r="125" spans="2:17">
      <c r="B125" s="1" t="s">
        <v>0</v>
      </c>
      <c r="C125" s="3" t="s">
        <v>418</v>
      </c>
      <c r="D125" s="1" t="s">
        <v>1</v>
      </c>
      <c r="E125" s="4">
        <v>1</v>
      </c>
      <c r="F125" s="1" t="s">
        <v>153</v>
      </c>
      <c r="G125" s="9" t="str">
        <f t="shared" si="39"/>
        <v>L</v>
      </c>
      <c r="H125" s="1" t="s">
        <v>1</v>
      </c>
      <c r="I125" s="4">
        <v>308</v>
      </c>
      <c r="J125" s="1" t="s">
        <v>153</v>
      </c>
      <c r="K125" s="7">
        <f t="shared" si="40"/>
        <v>270</v>
      </c>
      <c r="L125" s="1" t="s">
        <v>1</v>
      </c>
      <c r="M125" s="1">
        <v>230</v>
      </c>
      <c r="N125" s="1" t="s">
        <v>153</v>
      </c>
      <c r="O125" s="7">
        <f t="shared" si="41"/>
        <v>195</v>
      </c>
      <c r="P125" s="1" t="s">
        <v>449</v>
      </c>
      <c r="Q125" s="11" t="s">
        <v>424</v>
      </c>
    </row>
    <row r="126" spans="2:17">
      <c r="B126" s="1" t="s">
        <v>0</v>
      </c>
      <c r="C126" s="3" t="s">
        <v>419</v>
      </c>
      <c r="D126" s="1" t="s">
        <v>1</v>
      </c>
      <c r="E126" s="4">
        <v>2</v>
      </c>
      <c r="F126" s="1" t="s">
        <v>153</v>
      </c>
      <c r="G126" s="9" t="str">
        <f t="shared" si="39"/>
        <v>R</v>
      </c>
      <c r="H126" s="1" t="s">
        <v>1</v>
      </c>
      <c r="I126" s="4">
        <v>330</v>
      </c>
      <c r="J126" s="1" t="s">
        <v>153</v>
      </c>
      <c r="K126" s="7">
        <f t="shared" si="40"/>
        <v>289</v>
      </c>
      <c r="L126" s="1" t="s">
        <v>1</v>
      </c>
      <c r="M126" s="1">
        <v>233</v>
      </c>
      <c r="N126" s="1" t="s">
        <v>153</v>
      </c>
      <c r="O126" s="7">
        <f t="shared" si="41"/>
        <v>193</v>
      </c>
      <c r="P126" s="1" t="s">
        <v>449</v>
      </c>
      <c r="Q126" s="11" t="s">
        <v>425</v>
      </c>
    </row>
    <row r="127" spans="2:17">
      <c r="B127" s="1" t="s">
        <v>0</v>
      </c>
      <c r="C127" s="3" t="s">
        <v>420</v>
      </c>
      <c r="D127" s="1" t="s">
        <v>1</v>
      </c>
      <c r="E127" s="4">
        <v>1</v>
      </c>
      <c r="F127" s="1" t="s">
        <v>153</v>
      </c>
      <c r="G127" s="9" t="str">
        <f t="shared" si="39"/>
        <v>L</v>
      </c>
      <c r="H127" s="1" t="s">
        <v>1</v>
      </c>
      <c r="I127" s="4">
        <v>306</v>
      </c>
      <c r="J127" s="1" t="s">
        <v>153</v>
      </c>
      <c r="K127" s="7">
        <f t="shared" si="40"/>
        <v>268</v>
      </c>
      <c r="L127" s="1" t="s">
        <v>1</v>
      </c>
      <c r="M127" s="1">
        <v>225</v>
      </c>
      <c r="N127" s="1" t="s">
        <v>153</v>
      </c>
      <c r="O127" s="7">
        <f t="shared" si="41"/>
        <v>200</v>
      </c>
      <c r="P127" s="1" t="s">
        <v>449</v>
      </c>
      <c r="Q127" s="11" t="s">
        <v>427</v>
      </c>
    </row>
    <row r="128" spans="2:17">
      <c r="B128" s="1" t="s">
        <v>0</v>
      </c>
      <c r="C128" s="3" t="s">
        <v>421</v>
      </c>
      <c r="D128" s="1" t="s">
        <v>1</v>
      </c>
      <c r="E128" s="4">
        <v>1</v>
      </c>
      <c r="F128" s="1" t="s">
        <v>153</v>
      </c>
      <c r="G128" s="9" t="str">
        <f t="shared" si="39"/>
        <v>L</v>
      </c>
      <c r="H128" s="1" t="s">
        <v>1</v>
      </c>
      <c r="I128" s="4">
        <v>209</v>
      </c>
      <c r="J128" s="1" t="s">
        <v>153</v>
      </c>
      <c r="K128" s="7">
        <f t="shared" si="40"/>
        <v>183</v>
      </c>
      <c r="L128" s="1" t="s">
        <v>1</v>
      </c>
      <c r="M128" s="1">
        <v>190</v>
      </c>
      <c r="N128" s="1" t="s">
        <v>153</v>
      </c>
      <c r="O128" s="7">
        <f t="shared" si="41"/>
        <v>230</v>
      </c>
      <c r="P128" s="1" t="s">
        <v>449</v>
      </c>
      <c r="Q128" s="11" t="s">
        <v>426</v>
      </c>
    </row>
    <row r="129" spans="2:17">
      <c r="B129" s="1" t="s">
        <v>0</v>
      </c>
      <c r="C129" s="3" t="s">
        <v>95</v>
      </c>
      <c r="D129" s="1" t="s">
        <v>1</v>
      </c>
      <c r="E129" s="4">
        <v>1</v>
      </c>
      <c r="F129" s="1" t="s">
        <v>153</v>
      </c>
      <c r="G129" s="9" t="str">
        <f t="shared" si="33"/>
        <v>L</v>
      </c>
      <c r="H129" s="1" t="s">
        <v>1</v>
      </c>
      <c r="I129" s="4">
        <v>132</v>
      </c>
      <c r="J129" s="1" t="s">
        <v>153</v>
      </c>
      <c r="K129" s="7">
        <f t="shared" si="34"/>
        <v>116</v>
      </c>
      <c r="L129" s="1" t="s">
        <v>1</v>
      </c>
      <c r="M129" s="1">
        <v>271</v>
      </c>
      <c r="N129" s="1" t="s">
        <v>153</v>
      </c>
      <c r="O129" s="7">
        <f t="shared" si="35"/>
        <v>159</v>
      </c>
      <c r="P129" s="1" t="s">
        <v>449</v>
      </c>
      <c r="Q129" s="2" t="s">
        <v>183</v>
      </c>
    </row>
    <row r="130" spans="2:17">
      <c r="B130" s="1" t="s">
        <v>0</v>
      </c>
      <c r="C130" s="3" t="s">
        <v>96</v>
      </c>
      <c r="D130" s="1" t="s">
        <v>1</v>
      </c>
      <c r="E130" s="4">
        <v>1</v>
      </c>
      <c r="F130" s="1" t="s">
        <v>153</v>
      </c>
      <c r="G130" s="9" t="str">
        <f t="shared" si="33"/>
        <v>L</v>
      </c>
      <c r="H130" s="1" t="s">
        <v>1</v>
      </c>
      <c r="I130" s="4">
        <v>190</v>
      </c>
      <c r="J130" s="1" t="s">
        <v>153</v>
      </c>
      <c r="K130" s="7">
        <f t="shared" si="34"/>
        <v>166</v>
      </c>
      <c r="L130" s="1" t="s">
        <v>1</v>
      </c>
      <c r="M130" s="1">
        <v>251</v>
      </c>
      <c r="N130" s="1" t="s">
        <v>153</v>
      </c>
      <c r="O130" s="7">
        <f t="shared" si="35"/>
        <v>177</v>
      </c>
      <c r="P130" s="1" t="s">
        <v>449</v>
      </c>
    </row>
    <row r="131" spans="2:17">
      <c r="B131" s="1" t="s">
        <v>0</v>
      </c>
      <c r="C131" s="3" t="s">
        <v>97</v>
      </c>
      <c r="D131" s="1" t="s">
        <v>1</v>
      </c>
      <c r="E131" s="4">
        <v>1</v>
      </c>
      <c r="F131" s="1" t="s">
        <v>153</v>
      </c>
      <c r="G131" s="9" t="str">
        <f t="shared" si="33"/>
        <v>L</v>
      </c>
      <c r="H131" s="1" t="s">
        <v>1</v>
      </c>
      <c r="I131" s="4">
        <v>263</v>
      </c>
      <c r="J131" s="1" t="s">
        <v>153</v>
      </c>
      <c r="K131" s="7">
        <f t="shared" si="34"/>
        <v>230</v>
      </c>
      <c r="L131" s="1" t="s">
        <v>1</v>
      </c>
      <c r="M131" s="1">
        <v>308</v>
      </c>
      <c r="N131" s="1" t="s">
        <v>153</v>
      </c>
      <c r="O131" s="7">
        <f t="shared" si="35"/>
        <v>127</v>
      </c>
      <c r="P131" s="1" t="s">
        <v>449</v>
      </c>
      <c r="Q131" s="2" t="s">
        <v>201</v>
      </c>
    </row>
    <row r="132" spans="2:17">
      <c r="B132" s="1" t="s">
        <v>0</v>
      </c>
      <c r="C132" s="3" t="s">
        <v>98</v>
      </c>
      <c r="D132" s="1" t="s">
        <v>1</v>
      </c>
      <c r="E132" s="4">
        <v>1</v>
      </c>
      <c r="F132" s="1" t="s">
        <v>153</v>
      </c>
      <c r="G132" s="9" t="str">
        <f t="shared" si="33"/>
        <v>L</v>
      </c>
      <c r="H132" s="1" t="s">
        <v>1</v>
      </c>
      <c r="I132" s="4">
        <v>263</v>
      </c>
      <c r="J132" s="1" t="s">
        <v>153</v>
      </c>
      <c r="K132" s="7">
        <f t="shared" si="34"/>
        <v>230</v>
      </c>
      <c r="L132" s="1" t="s">
        <v>1</v>
      </c>
      <c r="M132" s="1">
        <v>308</v>
      </c>
      <c r="N132" s="1" t="s">
        <v>153</v>
      </c>
      <c r="O132" s="7">
        <f t="shared" si="35"/>
        <v>127</v>
      </c>
      <c r="P132" s="1" t="s">
        <v>449</v>
      </c>
    </row>
    <row r="133" spans="2:17">
      <c r="B133" s="1" t="s">
        <v>0</v>
      </c>
      <c r="C133" s="3" t="s">
        <v>99</v>
      </c>
      <c r="D133" s="1" t="s">
        <v>1</v>
      </c>
      <c r="E133" s="4">
        <v>1</v>
      </c>
      <c r="F133" s="1" t="s">
        <v>153</v>
      </c>
      <c r="G133" s="9" t="str">
        <f t="shared" si="33"/>
        <v>L</v>
      </c>
      <c r="H133" s="1" t="s">
        <v>1</v>
      </c>
      <c r="I133" s="4">
        <v>201</v>
      </c>
      <c r="J133" s="1" t="s">
        <v>153</v>
      </c>
      <c r="K133" s="7">
        <f t="shared" si="34"/>
        <v>176</v>
      </c>
      <c r="L133" s="1" t="s">
        <v>1</v>
      </c>
      <c r="M133" s="1">
        <v>314</v>
      </c>
      <c r="N133" s="1" t="s">
        <v>153</v>
      </c>
      <c r="O133" s="7">
        <f t="shared" si="35"/>
        <v>122</v>
      </c>
      <c r="P133" s="1" t="s">
        <v>449</v>
      </c>
    </row>
    <row r="134" spans="2:17">
      <c r="B134" s="1" t="s">
        <v>0</v>
      </c>
      <c r="C134" s="3" t="s">
        <v>100</v>
      </c>
      <c r="D134" s="1" t="s">
        <v>1</v>
      </c>
      <c r="E134" s="4">
        <v>1</v>
      </c>
      <c r="F134" s="1" t="s">
        <v>153</v>
      </c>
      <c r="G134" s="9" t="str">
        <f t="shared" si="33"/>
        <v>L</v>
      </c>
      <c r="H134" s="1" t="s">
        <v>1</v>
      </c>
      <c r="I134" s="4">
        <v>270</v>
      </c>
      <c r="J134" s="1" t="s">
        <v>153</v>
      </c>
      <c r="K134" s="7">
        <f t="shared" si="34"/>
        <v>236</v>
      </c>
      <c r="L134" s="1" t="s">
        <v>1</v>
      </c>
      <c r="M134" s="1">
        <v>282</v>
      </c>
      <c r="N134" s="1" t="s">
        <v>153</v>
      </c>
      <c r="O134" s="7">
        <f t="shared" si="35"/>
        <v>150</v>
      </c>
      <c r="P134" s="1" t="s">
        <v>449</v>
      </c>
    </row>
    <row r="135" spans="2:17">
      <c r="B135" s="1" t="s">
        <v>0</v>
      </c>
      <c r="C135" s="3" t="s">
        <v>101</v>
      </c>
      <c r="D135" s="1" t="s">
        <v>1</v>
      </c>
      <c r="E135" s="4">
        <v>1</v>
      </c>
      <c r="F135" s="1" t="s">
        <v>153</v>
      </c>
      <c r="G135" s="9" t="str">
        <f t="shared" si="33"/>
        <v>L</v>
      </c>
      <c r="H135" s="1" t="s">
        <v>1</v>
      </c>
      <c r="I135" s="4">
        <v>215</v>
      </c>
      <c r="J135" s="1" t="s">
        <v>153</v>
      </c>
      <c r="K135" s="7">
        <f t="shared" si="34"/>
        <v>188</v>
      </c>
      <c r="L135" s="1" t="s">
        <v>1</v>
      </c>
      <c r="M135" s="1">
        <v>192</v>
      </c>
      <c r="N135" s="1" t="s">
        <v>153</v>
      </c>
      <c r="O135" s="7">
        <f t="shared" si="35"/>
        <v>228</v>
      </c>
      <c r="P135" s="1" t="s">
        <v>449</v>
      </c>
      <c r="Q135" s="2" t="s">
        <v>184</v>
      </c>
    </row>
    <row r="136" spans="2:17">
      <c r="B136" s="1" t="s">
        <v>0</v>
      </c>
      <c r="C136" s="3" t="s">
        <v>102</v>
      </c>
      <c r="D136" s="1" t="s">
        <v>1</v>
      </c>
      <c r="E136" s="4">
        <v>2</v>
      </c>
      <c r="F136" s="1" t="s">
        <v>153</v>
      </c>
      <c r="G136" s="9" t="str">
        <f t="shared" si="33"/>
        <v>R</v>
      </c>
      <c r="H136" s="1" t="s">
        <v>1</v>
      </c>
      <c r="I136" s="4">
        <v>402</v>
      </c>
      <c r="J136" s="1" t="s">
        <v>153</v>
      </c>
      <c r="K136" s="7">
        <f t="shared" si="34"/>
        <v>352</v>
      </c>
      <c r="L136" s="1" t="s">
        <v>1</v>
      </c>
      <c r="M136" s="1">
        <v>232</v>
      </c>
      <c r="N136" s="1" t="s">
        <v>153</v>
      </c>
      <c r="O136" s="7">
        <f t="shared" si="35"/>
        <v>193</v>
      </c>
      <c r="P136" s="1" t="s">
        <v>449</v>
      </c>
    </row>
    <row r="137" spans="2:17">
      <c r="B137" s="1" t="s">
        <v>0</v>
      </c>
      <c r="C137" s="3" t="s">
        <v>103</v>
      </c>
      <c r="D137" s="1" t="s">
        <v>1</v>
      </c>
      <c r="E137" s="4">
        <v>2</v>
      </c>
      <c r="F137" s="1" t="s">
        <v>153</v>
      </c>
      <c r="G137" s="9" t="str">
        <f t="shared" si="33"/>
        <v>R</v>
      </c>
      <c r="H137" s="1" t="s">
        <v>1</v>
      </c>
      <c r="I137" s="4">
        <v>415</v>
      </c>
      <c r="J137" s="1" t="s">
        <v>153</v>
      </c>
      <c r="K137" s="7">
        <f t="shared" si="34"/>
        <v>363</v>
      </c>
      <c r="L137" s="1" t="s">
        <v>1</v>
      </c>
      <c r="M137" s="1">
        <v>234</v>
      </c>
      <c r="N137" s="1" t="s">
        <v>153</v>
      </c>
      <c r="O137" s="7">
        <f t="shared" si="35"/>
        <v>192</v>
      </c>
      <c r="P137" s="1" t="s">
        <v>449</v>
      </c>
    </row>
    <row r="138" spans="2:17">
      <c r="B138" s="1" t="s">
        <v>0</v>
      </c>
      <c r="C138" s="3" t="s">
        <v>104</v>
      </c>
      <c r="D138" s="1" t="s">
        <v>1</v>
      </c>
      <c r="E138" s="4">
        <v>2</v>
      </c>
      <c r="F138" s="1" t="s">
        <v>153</v>
      </c>
      <c r="G138" s="9" t="str">
        <f t="shared" si="33"/>
        <v>R</v>
      </c>
      <c r="H138" s="1" t="s">
        <v>1</v>
      </c>
      <c r="I138" s="4">
        <v>497</v>
      </c>
      <c r="J138" s="1" t="s">
        <v>153</v>
      </c>
      <c r="K138" s="7">
        <f t="shared" si="34"/>
        <v>435</v>
      </c>
      <c r="L138" s="1" t="s">
        <v>1</v>
      </c>
      <c r="M138" s="1">
        <v>348</v>
      </c>
      <c r="N138" s="1" t="s">
        <v>153</v>
      </c>
      <c r="O138" s="7">
        <f t="shared" si="35"/>
        <v>92</v>
      </c>
      <c r="P138" s="1" t="s">
        <v>449</v>
      </c>
    </row>
    <row r="139" spans="2:17">
      <c r="B139" s="1" t="s">
        <v>0</v>
      </c>
      <c r="C139" s="3" t="s">
        <v>105</v>
      </c>
      <c r="D139" s="1" t="s">
        <v>1</v>
      </c>
      <c r="E139" s="4">
        <v>1</v>
      </c>
      <c r="F139" s="1" t="s">
        <v>153</v>
      </c>
      <c r="G139" s="9" t="str">
        <f t="shared" si="33"/>
        <v>L</v>
      </c>
      <c r="H139" s="1" t="s">
        <v>1</v>
      </c>
      <c r="I139" s="4">
        <v>187</v>
      </c>
      <c r="J139" s="1" t="s">
        <v>153</v>
      </c>
      <c r="K139" s="7">
        <f t="shared" si="34"/>
        <v>164</v>
      </c>
      <c r="L139" s="1" t="s">
        <v>1</v>
      </c>
      <c r="M139" s="1">
        <v>317</v>
      </c>
      <c r="N139" s="1" t="s">
        <v>153</v>
      </c>
      <c r="O139" s="7">
        <f t="shared" si="35"/>
        <v>119</v>
      </c>
      <c r="P139" s="1" t="s">
        <v>449</v>
      </c>
      <c r="Q139" s="2" t="s">
        <v>201</v>
      </c>
    </row>
    <row r="140" spans="2:17">
      <c r="B140" s="1" t="s">
        <v>0</v>
      </c>
      <c r="C140" s="3" t="s">
        <v>106</v>
      </c>
      <c r="D140" s="1" t="s">
        <v>1</v>
      </c>
      <c r="E140" s="4">
        <v>1</v>
      </c>
      <c r="F140" s="1" t="s">
        <v>153</v>
      </c>
      <c r="G140" s="9" t="str">
        <f t="shared" si="33"/>
        <v>L</v>
      </c>
      <c r="H140" s="1" t="s">
        <v>1</v>
      </c>
      <c r="I140" s="4">
        <v>187</v>
      </c>
      <c r="J140" s="1" t="s">
        <v>153</v>
      </c>
      <c r="K140" s="7">
        <f t="shared" si="34"/>
        <v>164</v>
      </c>
      <c r="L140" s="1" t="s">
        <v>1</v>
      </c>
      <c r="M140" s="1">
        <v>317</v>
      </c>
      <c r="N140" s="1" t="s">
        <v>153</v>
      </c>
      <c r="O140" s="7">
        <f t="shared" si="35"/>
        <v>119</v>
      </c>
      <c r="P140" s="1" t="s">
        <v>449</v>
      </c>
    </row>
    <row r="141" spans="2:17">
      <c r="B141" s="1" t="s">
        <v>0</v>
      </c>
      <c r="C141" s="3" t="s">
        <v>107</v>
      </c>
      <c r="D141" s="1" t="s">
        <v>1</v>
      </c>
      <c r="E141" s="4">
        <v>1</v>
      </c>
      <c r="F141" s="1" t="s">
        <v>153</v>
      </c>
      <c r="G141" s="9" t="str">
        <f t="shared" si="33"/>
        <v>L</v>
      </c>
      <c r="H141" s="1" t="s">
        <v>1</v>
      </c>
      <c r="I141" s="4">
        <v>195</v>
      </c>
      <c r="J141" s="1" t="s">
        <v>153</v>
      </c>
      <c r="K141" s="7">
        <f t="shared" si="34"/>
        <v>171</v>
      </c>
      <c r="L141" s="1" t="s">
        <v>1</v>
      </c>
      <c r="M141" s="1">
        <v>306</v>
      </c>
      <c r="N141" s="1" t="s">
        <v>153</v>
      </c>
      <c r="O141" s="7">
        <f t="shared" si="35"/>
        <v>129</v>
      </c>
      <c r="P141" s="1" t="s">
        <v>449</v>
      </c>
    </row>
    <row r="142" spans="2:17">
      <c r="B142" s="1" t="s">
        <v>0</v>
      </c>
      <c r="C142" s="3" t="s">
        <v>108</v>
      </c>
      <c r="D142" s="1" t="s">
        <v>1</v>
      </c>
      <c r="E142" s="4">
        <v>2</v>
      </c>
      <c r="F142" s="1" t="s">
        <v>153</v>
      </c>
      <c r="G142" s="9" t="str">
        <f t="shared" ref="G142:G190" si="42">IF(E142="","",IF(E142=1,"L",IF(E142=2,"R","?")))</f>
        <v>R</v>
      </c>
      <c r="H142" s="1" t="s">
        <v>1</v>
      </c>
      <c r="I142" s="4">
        <v>438</v>
      </c>
      <c r="J142" s="1" t="s">
        <v>153</v>
      </c>
      <c r="K142" s="7">
        <f t="shared" ref="K142:K190" si="43">IF(ISBLANK(I142),"",ROUND((700*I142)/800,0))</f>
        <v>383</v>
      </c>
      <c r="L142" s="1" t="s">
        <v>1</v>
      </c>
      <c r="M142" s="1">
        <v>263</v>
      </c>
      <c r="N142" s="1" t="s">
        <v>153</v>
      </c>
      <c r="O142" s="7">
        <f t="shared" si="35"/>
        <v>166</v>
      </c>
      <c r="P142" s="1" t="s">
        <v>449</v>
      </c>
      <c r="Q142" s="2" t="s">
        <v>188</v>
      </c>
    </row>
    <row r="143" spans="2:17">
      <c r="B143" s="1" t="s">
        <v>0</v>
      </c>
      <c r="C143" s="3" t="s">
        <v>109</v>
      </c>
      <c r="D143" s="1" t="s">
        <v>1</v>
      </c>
      <c r="E143" s="4">
        <v>2</v>
      </c>
      <c r="F143" s="1" t="s">
        <v>153</v>
      </c>
      <c r="G143" s="9" t="str">
        <f t="shared" si="42"/>
        <v>R</v>
      </c>
      <c r="H143" s="1" t="s">
        <v>1</v>
      </c>
      <c r="I143" s="4">
        <v>490</v>
      </c>
      <c r="J143" s="1" t="s">
        <v>153</v>
      </c>
      <c r="K143" s="7">
        <f t="shared" si="43"/>
        <v>429</v>
      </c>
      <c r="L143" s="1" t="s">
        <v>1</v>
      </c>
      <c r="M143" s="1">
        <v>260</v>
      </c>
      <c r="N143" s="1" t="s">
        <v>153</v>
      </c>
      <c r="O143" s="7">
        <f t="shared" si="35"/>
        <v>169</v>
      </c>
      <c r="P143" s="1" t="s">
        <v>449</v>
      </c>
    </row>
    <row r="144" spans="2:17">
      <c r="B144" s="1" t="s">
        <v>0</v>
      </c>
      <c r="C144" s="3" t="s">
        <v>110</v>
      </c>
      <c r="D144" s="1" t="s">
        <v>1</v>
      </c>
      <c r="E144" s="4">
        <v>1</v>
      </c>
      <c r="F144" s="1" t="s">
        <v>153</v>
      </c>
      <c r="G144" s="9" t="str">
        <f t="shared" si="42"/>
        <v>L</v>
      </c>
      <c r="H144" s="1" t="s">
        <v>1</v>
      </c>
      <c r="I144" s="4">
        <v>270</v>
      </c>
      <c r="J144" s="1" t="s">
        <v>153</v>
      </c>
      <c r="K144" s="7">
        <f t="shared" si="43"/>
        <v>236</v>
      </c>
      <c r="L144" s="1" t="s">
        <v>1</v>
      </c>
      <c r="M144" s="1">
        <v>314</v>
      </c>
      <c r="N144" s="1" t="s">
        <v>153</v>
      </c>
      <c r="O144" s="7">
        <f t="shared" si="35"/>
        <v>122</v>
      </c>
      <c r="P144" s="1" t="s">
        <v>449</v>
      </c>
      <c r="Q144" s="2" t="s">
        <v>201</v>
      </c>
    </row>
    <row r="145" spans="2:17">
      <c r="B145" s="1" t="s">
        <v>0</v>
      </c>
      <c r="C145" s="3" t="s">
        <v>111</v>
      </c>
      <c r="D145" s="1" t="s">
        <v>1</v>
      </c>
      <c r="E145" s="4">
        <v>1</v>
      </c>
      <c r="F145" s="1" t="s">
        <v>153</v>
      </c>
      <c r="G145" s="9" t="str">
        <f t="shared" si="42"/>
        <v>L</v>
      </c>
      <c r="H145" s="1" t="s">
        <v>1</v>
      </c>
      <c r="I145" s="4">
        <v>235</v>
      </c>
      <c r="J145" s="1" t="s">
        <v>153</v>
      </c>
      <c r="K145" s="7">
        <f t="shared" si="43"/>
        <v>206</v>
      </c>
      <c r="L145" s="1" t="s">
        <v>1</v>
      </c>
      <c r="M145" s="1">
        <v>262</v>
      </c>
      <c r="N145" s="1" t="s">
        <v>153</v>
      </c>
      <c r="O145" s="7">
        <f t="shared" si="35"/>
        <v>167</v>
      </c>
      <c r="P145" s="1" t="s">
        <v>449</v>
      </c>
    </row>
    <row r="146" spans="2:17">
      <c r="B146" s="1" t="s">
        <v>0</v>
      </c>
      <c r="C146" s="3" t="s">
        <v>112</v>
      </c>
      <c r="D146" s="1" t="s">
        <v>1</v>
      </c>
      <c r="E146" s="4">
        <v>1</v>
      </c>
      <c r="F146" s="1" t="s">
        <v>153</v>
      </c>
      <c r="G146" s="9" t="str">
        <f t="shared" si="42"/>
        <v>L</v>
      </c>
      <c r="H146" s="1" t="s">
        <v>1</v>
      </c>
      <c r="I146" s="4">
        <v>223</v>
      </c>
      <c r="J146" s="1" t="s">
        <v>153</v>
      </c>
      <c r="K146" s="7">
        <f t="shared" si="43"/>
        <v>195</v>
      </c>
      <c r="L146" s="1" t="s">
        <v>1</v>
      </c>
      <c r="M146" s="1">
        <v>252</v>
      </c>
      <c r="N146" s="1" t="s">
        <v>153</v>
      </c>
      <c r="O146" s="7">
        <f t="shared" si="35"/>
        <v>176</v>
      </c>
      <c r="P146" s="1" t="s">
        <v>449</v>
      </c>
    </row>
    <row r="147" spans="2:17">
      <c r="B147" s="1" t="s">
        <v>0</v>
      </c>
      <c r="C147" s="3" t="s">
        <v>113</v>
      </c>
      <c r="D147" s="1" t="s">
        <v>1</v>
      </c>
      <c r="E147" s="4">
        <v>1</v>
      </c>
      <c r="F147" s="1" t="s">
        <v>153</v>
      </c>
      <c r="G147" s="9" t="str">
        <f t="shared" si="42"/>
        <v>L</v>
      </c>
      <c r="H147" s="1" t="s">
        <v>1</v>
      </c>
      <c r="I147" s="4">
        <v>175</v>
      </c>
      <c r="J147" s="1" t="s">
        <v>153</v>
      </c>
      <c r="K147" s="7">
        <f t="shared" si="43"/>
        <v>153</v>
      </c>
      <c r="L147" s="1" t="s">
        <v>1</v>
      </c>
      <c r="M147" s="1">
        <v>253</v>
      </c>
      <c r="N147" s="1" t="s">
        <v>153</v>
      </c>
      <c r="O147" s="7">
        <f t="shared" si="35"/>
        <v>175</v>
      </c>
      <c r="P147" s="1" t="s">
        <v>449</v>
      </c>
      <c r="Q147" s="2" t="s">
        <v>202</v>
      </c>
    </row>
    <row r="148" spans="2:17">
      <c r="B148" s="1" t="s">
        <v>0</v>
      </c>
      <c r="C148" s="3" t="s">
        <v>114</v>
      </c>
      <c r="D148" s="1" t="s">
        <v>1</v>
      </c>
      <c r="E148" s="4">
        <v>2</v>
      </c>
      <c r="F148" s="1" t="s">
        <v>153</v>
      </c>
      <c r="G148" s="9" t="str">
        <f t="shared" si="42"/>
        <v>R</v>
      </c>
      <c r="H148" s="1" t="s">
        <v>1</v>
      </c>
      <c r="I148" s="4">
        <v>478</v>
      </c>
      <c r="J148" s="1" t="s">
        <v>153</v>
      </c>
      <c r="K148" s="7">
        <f t="shared" si="43"/>
        <v>418</v>
      </c>
      <c r="L148" s="1" t="s">
        <v>1</v>
      </c>
      <c r="M148" s="1">
        <v>198</v>
      </c>
      <c r="N148" s="1" t="s">
        <v>153</v>
      </c>
      <c r="O148" s="7">
        <f t="shared" si="35"/>
        <v>223</v>
      </c>
      <c r="P148" s="1" t="s">
        <v>449</v>
      </c>
      <c r="Q148" s="2" t="s">
        <v>189</v>
      </c>
    </row>
    <row r="149" spans="2:17">
      <c r="B149" s="1" t="s">
        <v>0</v>
      </c>
      <c r="C149" s="3" t="s">
        <v>115</v>
      </c>
      <c r="D149" s="1" t="s">
        <v>1</v>
      </c>
      <c r="E149" s="4">
        <v>1</v>
      </c>
      <c r="F149" s="1" t="s">
        <v>153</v>
      </c>
      <c r="G149" s="9" t="str">
        <f t="shared" si="42"/>
        <v>L</v>
      </c>
      <c r="H149" s="1" t="s">
        <v>1</v>
      </c>
      <c r="I149" s="4">
        <v>268</v>
      </c>
      <c r="J149" s="1" t="s">
        <v>153</v>
      </c>
      <c r="K149" s="7">
        <f t="shared" si="43"/>
        <v>235</v>
      </c>
      <c r="L149" s="1" t="s">
        <v>1</v>
      </c>
      <c r="M149" s="1">
        <v>225</v>
      </c>
      <c r="N149" s="1" t="s">
        <v>153</v>
      </c>
      <c r="O149" s="7">
        <f t="shared" si="35"/>
        <v>200</v>
      </c>
      <c r="P149" s="1" t="s">
        <v>449</v>
      </c>
      <c r="Q149" s="2" t="s">
        <v>203</v>
      </c>
    </row>
    <row r="150" spans="2:17">
      <c r="B150" s="1" t="s">
        <v>0</v>
      </c>
      <c r="C150" s="3" t="s">
        <v>116</v>
      </c>
      <c r="D150" s="1" t="s">
        <v>1</v>
      </c>
      <c r="E150" s="4">
        <v>1</v>
      </c>
      <c r="F150" s="1" t="s">
        <v>153</v>
      </c>
      <c r="G150" s="9" t="str">
        <f t="shared" si="42"/>
        <v>L</v>
      </c>
      <c r="H150" s="1" t="s">
        <v>1</v>
      </c>
      <c r="I150" s="4">
        <v>276</v>
      </c>
      <c r="J150" s="1" t="s">
        <v>153</v>
      </c>
      <c r="K150" s="7">
        <f t="shared" si="43"/>
        <v>242</v>
      </c>
      <c r="L150" s="1" t="s">
        <v>1</v>
      </c>
      <c r="M150" s="1">
        <v>247</v>
      </c>
      <c r="N150" s="1" t="s">
        <v>153</v>
      </c>
      <c r="O150" s="7">
        <f t="shared" si="35"/>
        <v>180</v>
      </c>
      <c r="P150" s="1" t="s">
        <v>449</v>
      </c>
    </row>
    <row r="151" spans="2:17">
      <c r="B151" s="1" t="s">
        <v>0</v>
      </c>
      <c r="C151" s="3" t="s">
        <v>117</v>
      </c>
      <c r="D151" s="1" t="s">
        <v>1</v>
      </c>
      <c r="E151" s="4">
        <v>1</v>
      </c>
      <c r="F151" s="1" t="s">
        <v>153</v>
      </c>
      <c r="G151" s="9" t="str">
        <f t="shared" si="42"/>
        <v>L</v>
      </c>
      <c r="H151" s="1" t="s">
        <v>1</v>
      </c>
      <c r="I151" s="4">
        <v>280</v>
      </c>
      <c r="J151" s="1" t="s">
        <v>153</v>
      </c>
      <c r="K151" s="7">
        <f t="shared" si="43"/>
        <v>245</v>
      </c>
      <c r="L151" s="1" t="s">
        <v>1</v>
      </c>
      <c r="M151" s="1">
        <v>238</v>
      </c>
      <c r="N151" s="1" t="s">
        <v>153</v>
      </c>
      <c r="O151" s="7">
        <f t="shared" si="35"/>
        <v>188</v>
      </c>
      <c r="P151" s="1" t="s">
        <v>449</v>
      </c>
    </row>
    <row r="152" spans="2:17">
      <c r="B152" s="1" t="s">
        <v>0</v>
      </c>
      <c r="C152" s="3" t="s">
        <v>118</v>
      </c>
      <c r="D152" s="1" t="s">
        <v>1</v>
      </c>
      <c r="E152" s="4">
        <v>1</v>
      </c>
      <c r="F152" s="1" t="s">
        <v>153</v>
      </c>
      <c r="G152" s="9" t="str">
        <f t="shared" si="42"/>
        <v>L</v>
      </c>
      <c r="H152" s="1" t="s">
        <v>1</v>
      </c>
      <c r="I152" s="4">
        <v>186</v>
      </c>
      <c r="J152" s="1" t="s">
        <v>153</v>
      </c>
      <c r="K152" s="7">
        <f t="shared" si="43"/>
        <v>163</v>
      </c>
      <c r="L152" s="1" t="s">
        <v>1</v>
      </c>
      <c r="M152" s="1">
        <v>253</v>
      </c>
      <c r="N152" s="1" t="s">
        <v>153</v>
      </c>
      <c r="O152" s="7">
        <f t="shared" si="35"/>
        <v>175</v>
      </c>
      <c r="P152" s="1" t="s">
        <v>449</v>
      </c>
      <c r="Q152" s="2" t="s">
        <v>201</v>
      </c>
    </row>
    <row r="153" spans="2:17">
      <c r="B153" s="1" t="s">
        <v>0</v>
      </c>
      <c r="C153" s="3" t="s">
        <v>119</v>
      </c>
      <c r="D153" s="1" t="s">
        <v>1</v>
      </c>
      <c r="E153" s="4">
        <v>1</v>
      </c>
      <c r="F153" s="1" t="s">
        <v>153</v>
      </c>
      <c r="G153" s="9" t="str">
        <f t="shared" si="42"/>
        <v>L</v>
      </c>
      <c r="H153" s="1" t="s">
        <v>1</v>
      </c>
      <c r="I153" s="4">
        <v>205</v>
      </c>
      <c r="J153" s="1" t="s">
        <v>153</v>
      </c>
      <c r="K153" s="7">
        <f t="shared" si="43"/>
        <v>179</v>
      </c>
      <c r="L153" s="1" t="s">
        <v>1</v>
      </c>
      <c r="M153" s="1">
        <v>248</v>
      </c>
      <c r="N153" s="1" t="s">
        <v>153</v>
      </c>
      <c r="O153" s="7">
        <f t="shared" si="35"/>
        <v>179</v>
      </c>
      <c r="P153" s="1" t="s">
        <v>449</v>
      </c>
    </row>
    <row r="154" spans="2:17">
      <c r="B154" s="1" t="s">
        <v>0</v>
      </c>
      <c r="C154" s="3" t="s">
        <v>120</v>
      </c>
      <c r="D154" s="1" t="s">
        <v>1</v>
      </c>
      <c r="E154" s="4">
        <v>2</v>
      </c>
      <c r="F154" s="1" t="s">
        <v>153</v>
      </c>
      <c r="G154" s="9" t="str">
        <f t="shared" si="42"/>
        <v>R</v>
      </c>
      <c r="H154" s="1" t="s">
        <v>1</v>
      </c>
      <c r="I154" s="4">
        <v>549</v>
      </c>
      <c r="J154" s="1" t="s">
        <v>153</v>
      </c>
      <c r="K154" s="7">
        <f t="shared" si="43"/>
        <v>480</v>
      </c>
      <c r="L154" s="1" t="s">
        <v>1</v>
      </c>
      <c r="M154" s="1">
        <v>226</v>
      </c>
      <c r="N154" s="1" t="s">
        <v>153</v>
      </c>
      <c r="O154" s="7">
        <f t="shared" si="35"/>
        <v>199</v>
      </c>
      <c r="P154" s="1" t="s">
        <v>449</v>
      </c>
      <c r="Q154" s="2" t="s">
        <v>190</v>
      </c>
    </row>
    <row r="155" spans="2:17">
      <c r="B155" s="1" t="s">
        <v>0</v>
      </c>
      <c r="C155" s="3" t="s">
        <v>121</v>
      </c>
      <c r="D155" s="1" t="s">
        <v>1</v>
      </c>
      <c r="E155" s="4">
        <v>1</v>
      </c>
      <c r="F155" s="1" t="s">
        <v>153</v>
      </c>
      <c r="G155" s="9" t="str">
        <f t="shared" si="42"/>
        <v>L</v>
      </c>
      <c r="H155" s="1" t="s">
        <v>1</v>
      </c>
      <c r="I155" s="4">
        <v>122</v>
      </c>
      <c r="J155" s="1" t="s">
        <v>153</v>
      </c>
      <c r="K155" s="7">
        <f t="shared" si="43"/>
        <v>107</v>
      </c>
      <c r="L155" s="1" t="s">
        <v>1</v>
      </c>
      <c r="M155" s="1">
        <v>218</v>
      </c>
      <c r="N155" s="1" t="s">
        <v>153</v>
      </c>
      <c r="O155" s="7">
        <f t="shared" si="35"/>
        <v>206</v>
      </c>
      <c r="P155" s="1" t="s">
        <v>449</v>
      </c>
    </row>
    <row r="156" spans="2:17">
      <c r="B156" s="1" t="s">
        <v>0</v>
      </c>
      <c r="C156" s="3" t="s">
        <v>122</v>
      </c>
      <c r="D156" s="1" t="s">
        <v>1</v>
      </c>
      <c r="E156" s="4">
        <v>1</v>
      </c>
      <c r="F156" s="1" t="s">
        <v>153</v>
      </c>
      <c r="G156" s="9" t="str">
        <f t="shared" si="42"/>
        <v>L</v>
      </c>
      <c r="H156" s="1" t="s">
        <v>1</v>
      </c>
      <c r="I156" s="4">
        <v>293</v>
      </c>
      <c r="J156" s="1" t="s">
        <v>153</v>
      </c>
      <c r="K156" s="7">
        <f t="shared" si="43"/>
        <v>256</v>
      </c>
      <c r="L156" s="1" t="s">
        <v>1</v>
      </c>
      <c r="M156" s="1">
        <v>186</v>
      </c>
      <c r="N156" s="1" t="s">
        <v>153</v>
      </c>
      <c r="O156" s="7">
        <f t="shared" si="35"/>
        <v>234</v>
      </c>
      <c r="P156" s="1" t="s">
        <v>449</v>
      </c>
    </row>
    <row r="157" spans="2:17">
      <c r="B157" s="1" t="s">
        <v>0</v>
      </c>
      <c r="C157" s="3" t="s">
        <v>123</v>
      </c>
      <c r="D157" s="1" t="s">
        <v>1</v>
      </c>
      <c r="E157" s="4">
        <v>1</v>
      </c>
      <c r="F157" s="1" t="s">
        <v>153</v>
      </c>
      <c r="G157" s="9" t="str">
        <f t="shared" si="42"/>
        <v>L</v>
      </c>
      <c r="H157" s="1" t="s">
        <v>1</v>
      </c>
      <c r="I157" s="4">
        <v>171</v>
      </c>
      <c r="J157" s="1" t="s">
        <v>153</v>
      </c>
      <c r="K157" s="7">
        <f t="shared" si="43"/>
        <v>150</v>
      </c>
      <c r="L157" s="1" t="s">
        <v>1</v>
      </c>
      <c r="M157" s="1">
        <v>217</v>
      </c>
      <c r="N157" s="1" t="s">
        <v>153</v>
      </c>
      <c r="O157" s="7">
        <f t="shared" si="35"/>
        <v>207</v>
      </c>
      <c r="P157" s="1" t="s">
        <v>449</v>
      </c>
    </row>
    <row r="158" spans="2:17">
      <c r="B158" s="1" t="s">
        <v>0</v>
      </c>
      <c r="C158" s="3" t="s">
        <v>124</v>
      </c>
      <c r="D158" s="1" t="s">
        <v>1</v>
      </c>
      <c r="E158" s="4">
        <v>1</v>
      </c>
      <c r="F158" s="1" t="s">
        <v>153</v>
      </c>
      <c r="G158" s="9" t="str">
        <f t="shared" si="42"/>
        <v>L</v>
      </c>
      <c r="H158" s="1" t="s">
        <v>1</v>
      </c>
      <c r="I158" s="4">
        <v>147</v>
      </c>
      <c r="J158" s="1" t="s">
        <v>153</v>
      </c>
      <c r="K158" s="7">
        <f t="shared" si="43"/>
        <v>129</v>
      </c>
      <c r="L158" s="1" t="s">
        <v>1</v>
      </c>
      <c r="M158" s="1">
        <v>307</v>
      </c>
      <c r="N158" s="1" t="s">
        <v>153</v>
      </c>
      <c r="O158" s="7">
        <f t="shared" si="35"/>
        <v>128</v>
      </c>
      <c r="P158" s="1" t="s">
        <v>449</v>
      </c>
      <c r="Q158" s="2" t="s">
        <v>205</v>
      </c>
    </row>
    <row r="159" spans="2:17">
      <c r="B159" s="1" t="s">
        <v>0</v>
      </c>
      <c r="C159" s="3" t="s">
        <v>125</v>
      </c>
      <c r="D159" s="1" t="s">
        <v>1</v>
      </c>
      <c r="E159" s="4">
        <v>1</v>
      </c>
      <c r="F159" s="1" t="s">
        <v>153</v>
      </c>
      <c r="G159" s="9" t="str">
        <f t="shared" si="42"/>
        <v>L</v>
      </c>
      <c r="H159" s="1" t="s">
        <v>1</v>
      </c>
      <c r="I159" s="4">
        <v>90</v>
      </c>
      <c r="J159" s="1" t="s">
        <v>153</v>
      </c>
      <c r="K159" s="7">
        <f t="shared" si="43"/>
        <v>79</v>
      </c>
      <c r="L159" s="1" t="s">
        <v>1</v>
      </c>
      <c r="M159" s="1">
        <v>305</v>
      </c>
      <c r="N159" s="1" t="s">
        <v>153</v>
      </c>
      <c r="O159" s="7">
        <f t="shared" si="35"/>
        <v>130</v>
      </c>
      <c r="P159" s="1" t="s">
        <v>449</v>
      </c>
    </row>
    <row r="160" spans="2:17">
      <c r="B160" s="1" t="s">
        <v>0</v>
      </c>
      <c r="C160" s="3" t="s">
        <v>126</v>
      </c>
      <c r="D160" s="1" t="s">
        <v>1</v>
      </c>
      <c r="E160" s="4">
        <v>1</v>
      </c>
      <c r="F160" s="1" t="s">
        <v>153</v>
      </c>
      <c r="G160" s="9" t="str">
        <f t="shared" si="42"/>
        <v>L</v>
      </c>
      <c r="H160" s="1" t="s">
        <v>1</v>
      </c>
      <c r="I160" s="4">
        <v>191</v>
      </c>
      <c r="J160" s="1" t="s">
        <v>153</v>
      </c>
      <c r="K160" s="7">
        <f t="shared" si="43"/>
        <v>167</v>
      </c>
      <c r="L160" s="1" t="s">
        <v>1</v>
      </c>
      <c r="M160" s="1">
        <v>347</v>
      </c>
      <c r="N160" s="1" t="s">
        <v>153</v>
      </c>
      <c r="O160" s="7">
        <f t="shared" si="35"/>
        <v>93</v>
      </c>
      <c r="P160" s="1" t="s">
        <v>449</v>
      </c>
      <c r="Q160" s="2" t="s">
        <v>206</v>
      </c>
    </row>
    <row r="161" spans="2:17">
      <c r="B161" s="1" t="s">
        <v>0</v>
      </c>
      <c r="C161" s="3" t="s">
        <v>127</v>
      </c>
      <c r="D161" s="1" t="s">
        <v>1</v>
      </c>
      <c r="E161" s="4">
        <v>1</v>
      </c>
      <c r="F161" s="1" t="s">
        <v>153</v>
      </c>
      <c r="G161" s="9" t="str">
        <f t="shared" si="42"/>
        <v>L</v>
      </c>
      <c r="H161" s="1" t="s">
        <v>1</v>
      </c>
      <c r="I161" s="4">
        <v>101</v>
      </c>
      <c r="J161" s="1" t="s">
        <v>153</v>
      </c>
      <c r="K161" s="7">
        <f t="shared" si="43"/>
        <v>88</v>
      </c>
      <c r="L161" s="1" t="s">
        <v>1</v>
      </c>
      <c r="M161" s="1">
        <v>146</v>
      </c>
      <c r="N161" s="1" t="s">
        <v>153</v>
      </c>
      <c r="O161" s="7">
        <f t="shared" si="35"/>
        <v>269</v>
      </c>
      <c r="P161" s="1" t="s">
        <v>449</v>
      </c>
      <c r="Q161" s="2" t="s">
        <v>207</v>
      </c>
    </row>
    <row r="162" spans="2:17">
      <c r="B162" s="1" t="s">
        <v>0</v>
      </c>
      <c r="C162" s="3" t="s">
        <v>128</v>
      </c>
      <c r="D162" s="1" t="s">
        <v>1</v>
      </c>
      <c r="E162" s="4">
        <v>2</v>
      </c>
      <c r="F162" s="1" t="s">
        <v>153</v>
      </c>
      <c r="G162" s="9" t="str">
        <f t="shared" si="42"/>
        <v>R</v>
      </c>
      <c r="H162" s="1" t="s">
        <v>1</v>
      </c>
      <c r="I162" s="4">
        <v>539</v>
      </c>
      <c r="J162" s="1" t="s">
        <v>153</v>
      </c>
      <c r="K162" s="7">
        <f t="shared" si="43"/>
        <v>472</v>
      </c>
      <c r="L162" s="1" t="s">
        <v>1</v>
      </c>
      <c r="M162" s="1">
        <v>315</v>
      </c>
      <c r="N162" s="1" t="s">
        <v>153</v>
      </c>
      <c r="O162" s="7">
        <f t="shared" ref="O162:O192" si="44">IF(ISBLANK(M162),"",ROUND((525*(600-M162-147))/600,0))</f>
        <v>121</v>
      </c>
      <c r="P162" s="1" t="s">
        <v>449</v>
      </c>
      <c r="Q162" s="2" t="s">
        <v>208</v>
      </c>
    </row>
    <row r="163" spans="2:17">
      <c r="B163" s="1" t="s">
        <v>0</v>
      </c>
      <c r="C163" s="3" t="s">
        <v>129</v>
      </c>
      <c r="D163" s="1" t="s">
        <v>1</v>
      </c>
      <c r="E163" s="4">
        <v>1</v>
      </c>
      <c r="F163" s="1" t="s">
        <v>153</v>
      </c>
      <c r="G163" s="9" t="str">
        <f t="shared" si="42"/>
        <v>L</v>
      </c>
      <c r="H163" s="1" t="s">
        <v>1</v>
      </c>
      <c r="I163" s="4">
        <v>183</v>
      </c>
      <c r="J163" s="1" t="s">
        <v>153</v>
      </c>
      <c r="K163" s="7">
        <f t="shared" si="43"/>
        <v>160</v>
      </c>
      <c r="L163" s="1" t="s">
        <v>1</v>
      </c>
      <c r="M163" s="1">
        <v>245</v>
      </c>
      <c r="N163" s="1" t="s">
        <v>153</v>
      </c>
      <c r="O163" s="7">
        <f t="shared" si="44"/>
        <v>182</v>
      </c>
      <c r="P163" s="1" t="s">
        <v>449</v>
      </c>
      <c r="Q163" s="2" t="s">
        <v>202</v>
      </c>
    </row>
    <row r="164" spans="2:17">
      <c r="B164" s="1" t="s">
        <v>0</v>
      </c>
      <c r="C164" s="3" t="s">
        <v>130</v>
      </c>
      <c r="D164" s="1" t="s">
        <v>1</v>
      </c>
      <c r="E164" s="4">
        <v>2</v>
      </c>
      <c r="F164" s="1" t="s">
        <v>153</v>
      </c>
      <c r="G164" s="9" t="str">
        <f t="shared" si="42"/>
        <v>R</v>
      </c>
      <c r="H164" s="1" t="s">
        <v>1</v>
      </c>
      <c r="I164" s="4">
        <v>549</v>
      </c>
      <c r="J164" s="1" t="s">
        <v>153</v>
      </c>
      <c r="K164" s="7">
        <f t="shared" si="43"/>
        <v>480</v>
      </c>
      <c r="L164" s="1" t="s">
        <v>1</v>
      </c>
      <c r="M164" s="1">
        <v>261</v>
      </c>
      <c r="N164" s="1" t="s">
        <v>153</v>
      </c>
      <c r="O164" s="7">
        <f t="shared" si="44"/>
        <v>168</v>
      </c>
      <c r="P164" s="1" t="s">
        <v>449</v>
      </c>
      <c r="Q164" s="2" t="s">
        <v>209</v>
      </c>
    </row>
    <row r="165" spans="2:17">
      <c r="B165" s="1" t="s">
        <v>0</v>
      </c>
      <c r="C165" s="3" t="s">
        <v>131</v>
      </c>
      <c r="D165" s="1" t="s">
        <v>1</v>
      </c>
      <c r="E165" s="4">
        <v>2</v>
      </c>
      <c r="F165" s="1" t="s">
        <v>153</v>
      </c>
      <c r="G165" s="9" t="str">
        <f t="shared" si="42"/>
        <v>R</v>
      </c>
      <c r="H165" s="1" t="s">
        <v>1</v>
      </c>
      <c r="I165" s="4">
        <v>461</v>
      </c>
      <c r="J165" s="1" t="s">
        <v>153</v>
      </c>
      <c r="K165" s="7">
        <f t="shared" si="43"/>
        <v>403</v>
      </c>
      <c r="L165" s="1" t="s">
        <v>1</v>
      </c>
      <c r="M165" s="1">
        <v>324</v>
      </c>
      <c r="N165" s="1" t="s">
        <v>153</v>
      </c>
      <c r="O165" s="7">
        <f t="shared" si="44"/>
        <v>113</v>
      </c>
      <c r="P165" s="1" t="s">
        <v>449</v>
      </c>
    </row>
    <row r="166" spans="2:17">
      <c r="B166" s="1" t="s">
        <v>0</v>
      </c>
      <c r="C166" s="3" t="s">
        <v>132</v>
      </c>
      <c r="D166" s="1" t="s">
        <v>1</v>
      </c>
      <c r="E166" s="4">
        <v>1</v>
      </c>
      <c r="F166" s="1" t="s">
        <v>153</v>
      </c>
      <c r="G166" s="9" t="str">
        <f t="shared" si="42"/>
        <v>L</v>
      </c>
      <c r="H166" s="1" t="s">
        <v>1</v>
      </c>
      <c r="I166" s="4">
        <v>176</v>
      </c>
      <c r="J166" s="1" t="s">
        <v>153</v>
      </c>
      <c r="K166" s="7">
        <f t="shared" si="43"/>
        <v>154</v>
      </c>
      <c r="L166" s="1" t="s">
        <v>1</v>
      </c>
      <c r="M166" s="1">
        <v>314</v>
      </c>
      <c r="N166" s="1" t="s">
        <v>153</v>
      </c>
      <c r="O166" s="7">
        <f t="shared" si="44"/>
        <v>122</v>
      </c>
      <c r="P166" s="1" t="s">
        <v>449</v>
      </c>
      <c r="Q166" s="2" t="s">
        <v>205</v>
      </c>
    </row>
    <row r="167" spans="2:17">
      <c r="B167" s="1" t="s">
        <v>0</v>
      </c>
      <c r="C167" s="3" t="s">
        <v>133</v>
      </c>
      <c r="D167" s="1" t="s">
        <v>1</v>
      </c>
      <c r="E167" s="4">
        <v>1</v>
      </c>
      <c r="F167" s="1" t="s">
        <v>153</v>
      </c>
      <c r="G167" s="9" t="str">
        <f t="shared" si="42"/>
        <v>L</v>
      </c>
      <c r="H167" s="1" t="s">
        <v>1</v>
      </c>
      <c r="I167" s="4">
        <v>183</v>
      </c>
      <c r="J167" s="1" t="s">
        <v>153</v>
      </c>
      <c r="K167" s="7">
        <f t="shared" si="43"/>
        <v>160</v>
      </c>
      <c r="L167" s="1" t="s">
        <v>1</v>
      </c>
      <c r="M167" s="1">
        <v>322</v>
      </c>
      <c r="N167" s="1" t="s">
        <v>153</v>
      </c>
      <c r="O167" s="7">
        <f t="shared" si="44"/>
        <v>115</v>
      </c>
      <c r="P167" s="1" t="s">
        <v>449</v>
      </c>
    </row>
    <row r="168" spans="2:17">
      <c r="B168" s="1" t="s">
        <v>0</v>
      </c>
      <c r="C168" s="3" t="s">
        <v>134</v>
      </c>
      <c r="D168" s="1" t="s">
        <v>1</v>
      </c>
      <c r="E168" s="4">
        <v>1</v>
      </c>
      <c r="F168" s="1" t="s">
        <v>153</v>
      </c>
      <c r="G168" s="9" t="str">
        <f t="shared" si="42"/>
        <v>L</v>
      </c>
      <c r="H168" s="1" t="s">
        <v>1</v>
      </c>
      <c r="I168" s="4">
        <v>199</v>
      </c>
      <c r="J168" s="1" t="s">
        <v>153</v>
      </c>
      <c r="K168" s="7">
        <f t="shared" si="43"/>
        <v>174</v>
      </c>
      <c r="L168" s="1" t="s">
        <v>1</v>
      </c>
      <c r="M168" s="1">
        <v>296</v>
      </c>
      <c r="N168" s="1" t="s">
        <v>153</v>
      </c>
      <c r="O168" s="7">
        <f t="shared" si="44"/>
        <v>137</v>
      </c>
      <c r="P168" s="1" t="s">
        <v>449</v>
      </c>
      <c r="Q168" s="2" t="s">
        <v>210</v>
      </c>
    </row>
    <row r="169" spans="2:17">
      <c r="B169" s="1" t="s">
        <v>0</v>
      </c>
      <c r="C169" s="3" t="s">
        <v>135</v>
      </c>
      <c r="D169" s="1" t="s">
        <v>1</v>
      </c>
      <c r="E169" s="4">
        <v>1</v>
      </c>
      <c r="F169" s="1" t="s">
        <v>153</v>
      </c>
      <c r="G169" s="9" t="str">
        <f t="shared" si="42"/>
        <v>L</v>
      </c>
      <c r="H169" s="1" t="s">
        <v>1</v>
      </c>
      <c r="I169" s="4">
        <v>211</v>
      </c>
      <c r="J169" s="1" t="s">
        <v>153</v>
      </c>
      <c r="K169" s="7">
        <f t="shared" si="43"/>
        <v>185</v>
      </c>
      <c r="L169" s="1" t="s">
        <v>1</v>
      </c>
      <c r="M169" s="1">
        <v>285</v>
      </c>
      <c r="N169" s="1" t="s">
        <v>153</v>
      </c>
      <c r="O169" s="7">
        <f t="shared" si="44"/>
        <v>147</v>
      </c>
      <c r="P169" s="1" t="s">
        <v>449</v>
      </c>
    </row>
    <row r="170" spans="2:17">
      <c r="B170" s="1" t="s">
        <v>0</v>
      </c>
      <c r="C170" s="3" t="s">
        <v>136</v>
      </c>
      <c r="D170" s="1" t="s">
        <v>1</v>
      </c>
      <c r="E170" s="4">
        <v>1</v>
      </c>
      <c r="F170" s="1" t="s">
        <v>153</v>
      </c>
      <c r="G170" s="9" t="str">
        <f t="shared" si="42"/>
        <v>L</v>
      </c>
      <c r="H170" s="1" t="s">
        <v>1</v>
      </c>
      <c r="I170" s="4">
        <v>147</v>
      </c>
      <c r="J170" s="1" t="s">
        <v>153</v>
      </c>
      <c r="K170" s="7">
        <f t="shared" si="43"/>
        <v>129</v>
      </c>
      <c r="L170" s="1" t="s">
        <v>1</v>
      </c>
      <c r="M170" s="1">
        <v>288</v>
      </c>
      <c r="N170" s="1" t="s">
        <v>153</v>
      </c>
      <c r="O170" s="7">
        <f t="shared" si="44"/>
        <v>144</v>
      </c>
      <c r="P170" s="1" t="s">
        <v>449</v>
      </c>
      <c r="Q170" s="2" t="s">
        <v>211</v>
      </c>
    </row>
    <row r="171" spans="2:17">
      <c r="B171" s="1" t="s">
        <v>0</v>
      </c>
      <c r="C171" s="3" t="s">
        <v>137</v>
      </c>
      <c r="D171" s="1" t="s">
        <v>1</v>
      </c>
      <c r="E171" s="4">
        <v>2</v>
      </c>
      <c r="F171" s="1" t="s">
        <v>153</v>
      </c>
      <c r="G171" s="9" t="str">
        <f t="shared" si="42"/>
        <v>R</v>
      </c>
      <c r="H171" s="1" t="s">
        <v>1</v>
      </c>
      <c r="I171" s="4">
        <v>507</v>
      </c>
      <c r="J171" s="1" t="s">
        <v>153</v>
      </c>
      <c r="K171" s="7">
        <f t="shared" si="43"/>
        <v>444</v>
      </c>
      <c r="L171" s="1" t="s">
        <v>1</v>
      </c>
      <c r="M171" s="1">
        <v>314</v>
      </c>
      <c r="N171" s="1" t="s">
        <v>153</v>
      </c>
      <c r="O171" s="7">
        <f t="shared" si="44"/>
        <v>122</v>
      </c>
      <c r="P171" s="1" t="s">
        <v>449</v>
      </c>
      <c r="Q171" s="2" t="s">
        <v>212</v>
      </c>
    </row>
    <row r="172" spans="2:17">
      <c r="B172" s="1" t="s">
        <v>0</v>
      </c>
      <c r="C172" s="3" t="s">
        <v>138</v>
      </c>
      <c r="D172" s="1" t="s">
        <v>1</v>
      </c>
      <c r="E172" s="4">
        <v>1</v>
      </c>
      <c r="F172" s="1" t="s">
        <v>153</v>
      </c>
      <c r="G172" s="9" t="str">
        <f t="shared" si="42"/>
        <v>L</v>
      </c>
      <c r="H172" s="1" t="s">
        <v>1</v>
      </c>
      <c r="I172" s="4">
        <v>331</v>
      </c>
      <c r="J172" s="1" t="s">
        <v>153</v>
      </c>
      <c r="K172" s="7">
        <f t="shared" si="43"/>
        <v>290</v>
      </c>
      <c r="L172" s="1" t="s">
        <v>1</v>
      </c>
      <c r="M172" s="1">
        <v>310</v>
      </c>
      <c r="N172" s="1" t="s">
        <v>153</v>
      </c>
      <c r="O172" s="7">
        <f t="shared" si="44"/>
        <v>125</v>
      </c>
      <c r="P172" s="1" t="s">
        <v>449</v>
      </c>
      <c r="Q172" s="2" t="s">
        <v>205</v>
      </c>
    </row>
    <row r="173" spans="2:17">
      <c r="B173" s="1" t="s">
        <v>0</v>
      </c>
      <c r="C173" s="3" t="s">
        <v>139</v>
      </c>
      <c r="D173" s="1" t="s">
        <v>1</v>
      </c>
      <c r="E173" s="4">
        <v>2</v>
      </c>
      <c r="F173" s="1" t="s">
        <v>153</v>
      </c>
      <c r="G173" s="9" t="str">
        <f t="shared" si="42"/>
        <v>R</v>
      </c>
      <c r="H173" s="1" t="s">
        <v>1</v>
      </c>
      <c r="I173" s="4">
        <v>470</v>
      </c>
      <c r="J173" s="1" t="s">
        <v>153</v>
      </c>
      <c r="K173" s="7">
        <f t="shared" si="43"/>
        <v>411</v>
      </c>
      <c r="L173" s="1" t="s">
        <v>1</v>
      </c>
      <c r="M173" s="1">
        <v>296</v>
      </c>
      <c r="N173" s="1" t="s">
        <v>153</v>
      </c>
      <c r="O173" s="7">
        <f t="shared" si="44"/>
        <v>137</v>
      </c>
      <c r="P173" s="1" t="s">
        <v>449</v>
      </c>
    </row>
    <row r="174" spans="2:17">
      <c r="B174" s="1" t="s">
        <v>0</v>
      </c>
      <c r="C174" s="3" t="s">
        <v>140</v>
      </c>
      <c r="D174" s="1" t="s">
        <v>1</v>
      </c>
      <c r="E174" s="4">
        <v>1</v>
      </c>
      <c r="F174" s="1" t="s">
        <v>153</v>
      </c>
      <c r="G174" s="9" t="str">
        <f t="shared" si="42"/>
        <v>L</v>
      </c>
      <c r="H174" s="1" t="s">
        <v>1</v>
      </c>
      <c r="I174" s="4">
        <v>174</v>
      </c>
      <c r="J174" s="1" t="s">
        <v>153</v>
      </c>
      <c r="K174" s="7">
        <f t="shared" si="43"/>
        <v>152</v>
      </c>
      <c r="L174" s="1" t="s">
        <v>1</v>
      </c>
      <c r="M174" s="1">
        <v>221</v>
      </c>
      <c r="N174" s="1" t="s">
        <v>153</v>
      </c>
      <c r="O174" s="7">
        <f t="shared" si="44"/>
        <v>203</v>
      </c>
      <c r="P174" s="1" t="s">
        <v>449</v>
      </c>
      <c r="Q174" s="2" t="s">
        <v>213</v>
      </c>
    </row>
    <row r="175" spans="2:17">
      <c r="B175" s="1" t="s">
        <v>0</v>
      </c>
      <c r="C175" s="3" t="s">
        <v>141</v>
      </c>
      <c r="D175" s="1" t="s">
        <v>1</v>
      </c>
      <c r="E175" s="4">
        <v>1</v>
      </c>
      <c r="F175" s="1" t="s">
        <v>153</v>
      </c>
      <c r="G175" s="9" t="str">
        <f t="shared" si="42"/>
        <v>L</v>
      </c>
      <c r="H175" s="1" t="s">
        <v>1</v>
      </c>
      <c r="I175" s="4">
        <v>212</v>
      </c>
      <c r="J175" s="1" t="s">
        <v>153</v>
      </c>
      <c r="K175" s="7">
        <f t="shared" si="43"/>
        <v>186</v>
      </c>
      <c r="L175" s="1" t="s">
        <v>1</v>
      </c>
      <c r="M175" s="1">
        <v>325</v>
      </c>
      <c r="N175" s="1" t="s">
        <v>153</v>
      </c>
      <c r="O175" s="7">
        <f t="shared" si="44"/>
        <v>112</v>
      </c>
      <c r="P175" s="1" t="s">
        <v>449</v>
      </c>
      <c r="Q175" s="2" t="s">
        <v>214</v>
      </c>
    </row>
    <row r="176" spans="2:17">
      <c r="B176" s="1" t="s">
        <v>0</v>
      </c>
      <c r="C176" s="3" t="s">
        <v>142</v>
      </c>
      <c r="D176" s="1" t="s">
        <v>1</v>
      </c>
      <c r="E176" s="4">
        <v>1</v>
      </c>
      <c r="F176" s="1" t="s">
        <v>153</v>
      </c>
      <c r="G176" s="9" t="str">
        <f t="shared" si="42"/>
        <v>L</v>
      </c>
      <c r="H176" s="1" t="s">
        <v>1</v>
      </c>
      <c r="I176" s="4">
        <v>258</v>
      </c>
      <c r="J176" s="1" t="s">
        <v>153</v>
      </c>
      <c r="K176" s="7">
        <f t="shared" si="43"/>
        <v>226</v>
      </c>
      <c r="L176" s="1" t="s">
        <v>1</v>
      </c>
      <c r="M176" s="1">
        <v>284</v>
      </c>
      <c r="N176" s="1" t="s">
        <v>153</v>
      </c>
      <c r="O176" s="7">
        <f t="shared" si="44"/>
        <v>148</v>
      </c>
      <c r="P176" s="1" t="s">
        <v>449</v>
      </c>
    </row>
    <row r="177" spans="2:17">
      <c r="B177" s="1" t="s">
        <v>0</v>
      </c>
      <c r="C177" s="3" t="s">
        <v>143</v>
      </c>
      <c r="D177" s="1" t="s">
        <v>1</v>
      </c>
      <c r="E177" s="4">
        <v>1</v>
      </c>
      <c r="F177" s="1" t="s">
        <v>153</v>
      </c>
      <c r="G177" s="9" t="str">
        <f t="shared" si="42"/>
        <v>L</v>
      </c>
      <c r="H177" s="1" t="s">
        <v>1</v>
      </c>
      <c r="I177" s="4">
        <v>222</v>
      </c>
      <c r="J177" s="1" t="s">
        <v>153</v>
      </c>
      <c r="K177" s="7">
        <f t="shared" si="43"/>
        <v>194</v>
      </c>
      <c r="L177" s="1" t="s">
        <v>1</v>
      </c>
      <c r="M177" s="1">
        <v>273</v>
      </c>
      <c r="N177" s="1" t="s">
        <v>153</v>
      </c>
      <c r="O177" s="7">
        <f t="shared" si="44"/>
        <v>158</v>
      </c>
      <c r="P177" s="1" t="s">
        <v>449</v>
      </c>
      <c r="Q177" s="2" t="s">
        <v>215</v>
      </c>
    </row>
    <row r="178" spans="2:17">
      <c r="B178" s="1" t="s">
        <v>0</v>
      </c>
      <c r="C178" s="3" t="s">
        <v>144</v>
      </c>
      <c r="D178" s="1" t="s">
        <v>1</v>
      </c>
      <c r="E178" s="4">
        <v>1</v>
      </c>
      <c r="F178" s="1" t="s">
        <v>153</v>
      </c>
      <c r="G178" s="9" t="str">
        <f t="shared" si="42"/>
        <v>L</v>
      </c>
      <c r="H178" s="1" t="s">
        <v>1</v>
      </c>
      <c r="I178" s="4">
        <v>223</v>
      </c>
      <c r="J178" s="1" t="s">
        <v>153</v>
      </c>
      <c r="K178" s="7">
        <f t="shared" si="43"/>
        <v>195</v>
      </c>
      <c r="L178" s="1" t="s">
        <v>1</v>
      </c>
      <c r="M178" s="1">
        <v>162</v>
      </c>
      <c r="N178" s="1" t="s">
        <v>153</v>
      </c>
      <c r="O178" s="7">
        <f t="shared" si="44"/>
        <v>255</v>
      </c>
      <c r="P178" s="1" t="s">
        <v>449</v>
      </c>
    </row>
    <row r="179" spans="2:17">
      <c r="B179" s="1" t="s">
        <v>0</v>
      </c>
      <c r="C179" s="3" t="s">
        <v>145</v>
      </c>
      <c r="D179" s="1" t="s">
        <v>1</v>
      </c>
      <c r="E179" s="4">
        <v>1</v>
      </c>
      <c r="F179" s="1" t="s">
        <v>153</v>
      </c>
      <c r="G179" s="9" t="str">
        <f t="shared" si="42"/>
        <v>L</v>
      </c>
      <c r="H179" s="1" t="s">
        <v>1</v>
      </c>
      <c r="I179" s="4">
        <v>382</v>
      </c>
      <c r="J179" s="1" t="s">
        <v>153</v>
      </c>
      <c r="K179" s="7">
        <f t="shared" si="43"/>
        <v>334</v>
      </c>
      <c r="L179" s="1" t="s">
        <v>1</v>
      </c>
      <c r="M179" s="1">
        <v>300</v>
      </c>
      <c r="N179" s="1" t="s">
        <v>153</v>
      </c>
      <c r="O179" s="7">
        <f t="shared" si="44"/>
        <v>134</v>
      </c>
      <c r="P179" s="1" t="s">
        <v>449</v>
      </c>
      <c r="Q179" s="2" t="s">
        <v>216</v>
      </c>
    </row>
    <row r="180" spans="2:17">
      <c r="B180" s="1" t="s">
        <v>0</v>
      </c>
      <c r="C180" s="3" t="s">
        <v>146</v>
      </c>
      <c r="D180" s="1" t="s">
        <v>1</v>
      </c>
      <c r="E180" s="4">
        <v>1</v>
      </c>
      <c r="F180" s="1" t="s">
        <v>153</v>
      </c>
      <c r="G180" s="9" t="str">
        <f t="shared" si="42"/>
        <v>L</v>
      </c>
      <c r="H180" s="1" t="s">
        <v>1</v>
      </c>
      <c r="I180" s="4">
        <v>210</v>
      </c>
      <c r="J180" s="1" t="s">
        <v>153</v>
      </c>
      <c r="K180" s="7">
        <f t="shared" si="43"/>
        <v>184</v>
      </c>
      <c r="L180" s="1" t="s">
        <v>1</v>
      </c>
      <c r="M180" s="1">
        <v>131</v>
      </c>
      <c r="N180" s="1" t="s">
        <v>153</v>
      </c>
      <c r="O180" s="7">
        <f t="shared" si="44"/>
        <v>282</v>
      </c>
      <c r="P180" s="1" t="s">
        <v>449</v>
      </c>
    </row>
    <row r="181" spans="2:17">
      <c r="B181" s="1" t="s">
        <v>0</v>
      </c>
      <c r="C181" s="3" t="s">
        <v>147</v>
      </c>
      <c r="D181" s="1" t="s">
        <v>1</v>
      </c>
      <c r="E181" s="4">
        <v>2</v>
      </c>
      <c r="F181" s="1" t="s">
        <v>153</v>
      </c>
      <c r="G181" s="9" t="str">
        <f t="shared" si="42"/>
        <v>R</v>
      </c>
      <c r="H181" s="1" t="s">
        <v>1</v>
      </c>
      <c r="I181" s="4">
        <v>373</v>
      </c>
      <c r="J181" s="1" t="s">
        <v>153</v>
      </c>
      <c r="K181" s="7">
        <f t="shared" si="43"/>
        <v>326</v>
      </c>
      <c r="L181" s="1" t="s">
        <v>1</v>
      </c>
      <c r="M181" s="1">
        <v>287</v>
      </c>
      <c r="N181" s="1" t="s">
        <v>153</v>
      </c>
      <c r="O181" s="7">
        <f t="shared" si="44"/>
        <v>145</v>
      </c>
      <c r="P181" s="1" t="s">
        <v>449</v>
      </c>
      <c r="Q181" s="11" t="s">
        <v>277</v>
      </c>
    </row>
    <row r="182" spans="2:17">
      <c r="B182" s="1" t="s">
        <v>0</v>
      </c>
      <c r="C182" s="3" t="s">
        <v>273</v>
      </c>
      <c r="D182" s="1" t="s">
        <v>1</v>
      </c>
      <c r="E182" s="4">
        <v>2</v>
      </c>
      <c r="F182" s="1" t="s">
        <v>153</v>
      </c>
      <c r="G182" s="9" t="str">
        <f t="shared" ref="G182:G185" si="45">IF(E182="","",IF(E182=1,"L",IF(E182=2,"R","?")))</f>
        <v>R</v>
      </c>
      <c r="H182" s="1" t="s">
        <v>1</v>
      </c>
      <c r="I182" s="4">
        <v>398</v>
      </c>
      <c r="J182" s="1" t="s">
        <v>153</v>
      </c>
      <c r="K182" s="7">
        <f t="shared" ref="K182:K185" si="46">IF(ISBLANK(I182),"",ROUND((700*I182)/800,0))</f>
        <v>348</v>
      </c>
      <c r="L182" s="1" t="s">
        <v>1</v>
      </c>
      <c r="M182" s="1">
        <v>279</v>
      </c>
      <c r="N182" s="1" t="s">
        <v>153</v>
      </c>
      <c r="O182" s="7">
        <f t="shared" ref="O182:O185" si="47">IF(ISBLANK(M182),"",ROUND((525*(600-M182-147))/600,0))</f>
        <v>152</v>
      </c>
      <c r="P182" s="1" t="s">
        <v>449</v>
      </c>
      <c r="Q182" s="11" t="s">
        <v>278</v>
      </c>
    </row>
    <row r="183" spans="2:17">
      <c r="B183" s="1" t="s">
        <v>0</v>
      </c>
      <c r="C183" s="3" t="s">
        <v>274</v>
      </c>
      <c r="D183" s="1" t="s">
        <v>1</v>
      </c>
      <c r="E183" s="4">
        <v>1</v>
      </c>
      <c r="F183" s="1" t="s">
        <v>153</v>
      </c>
      <c r="G183" s="9" t="str">
        <f t="shared" si="45"/>
        <v>L</v>
      </c>
      <c r="H183" s="1" t="s">
        <v>1</v>
      </c>
      <c r="I183" s="4">
        <v>310</v>
      </c>
      <c r="J183" s="1" t="s">
        <v>153</v>
      </c>
      <c r="K183" s="7">
        <f t="shared" si="46"/>
        <v>271</v>
      </c>
      <c r="L183" s="1" t="s">
        <v>1</v>
      </c>
      <c r="M183" s="1">
        <v>280</v>
      </c>
      <c r="N183" s="1" t="s">
        <v>153</v>
      </c>
      <c r="O183" s="7">
        <f t="shared" si="47"/>
        <v>151</v>
      </c>
      <c r="P183" s="1" t="s">
        <v>449</v>
      </c>
      <c r="Q183" s="11" t="s">
        <v>279</v>
      </c>
    </row>
    <row r="184" spans="2:17">
      <c r="B184" s="1" t="s">
        <v>0</v>
      </c>
      <c r="C184" s="3" t="s">
        <v>275</v>
      </c>
      <c r="D184" s="1" t="s">
        <v>1</v>
      </c>
      <c r="E184" s="4">
        <v>1</v>
      </c>
      <c r="F184" s="1" t="s">
        <v>153</v>
      </c>
      <c r="G184" s="9" t="str">
        <f t="shared" si="45"/>
        <v>L</v>
      </c>
      <c r="H184" s="1" t="s">
        <v>1</v>
      </c>
      <c r="I184" s="4">
        <v>285</v>
      </c>
      <c r="J184" s="1" t="s">
        <v>153</v>
      </c>
      <c r="K184" s="7">
        <f t="shared" si="46"/>
        <v>249</v>
      </c>
      <c r="L184" s="1" t="s">
        <v>1</v>
      </c>
      <c r="M184" s="1">
        <v>278</v>
      </c>
      <c r="N184" s="1" t="s">
        <v>153</v>
      </c>
      <c r="O184" s="7">
        <f t="shared" si="47"/>
        <v>153</v>
      </c>
      <c r="P184" s="1" t="s">
        <v>449</v>
      </c>
      <c r="Q184" s="11" t="s">
        <v>280</v>
      </c>
    </row>
    <row r="185" spans="2:17">
      <c r="B185" s="1" t="s">
        <v>0</v>
      </c>
      <c r="C185" s="3" t="s">
        <v>276</v>
      </c>
      <c r="D185" s="1" t="s">
        <v>1</v>
      </c>
      <c r="E185" s="4">
        <v>2</v>
      </c>
      <c r="F185" s="1" t="s">
        <v>153</v>
      </c>
      <c r="G185" s="9" t="str">
        <f t="shared" si="45"/>
        <v>R</v>
      </c>
      <c r="H185" s="1" t="s">
        <v>1</v>
      </c>
      <c r="I185" s="4">
        <v>362</v>
      </c>
      <c r="J185" s="1" t="s">
        <v>153</v>
      </c>
      <c r="K185" s="7">
        <f t="shared" si="46"/>
        <v>317</v>
      </c>
      <c r="L185" s="1" t="s">
        <v>1</v>
      </c>
      <c r="M185" s="1">
        <v>300</v>
      </c>
      <c r="N185" s="1" t="s">
        <v>153</v>
      </c>
      <c r="O185" s="7">
        <f t="shared" si="47"/>
        <v>134</v>
      </c>
      <c r="P185" s="1" t="s">
        <v>449</v>
      </c>
      <c r="Q185" s="11" t="s">
        <v>281</v>
      </c>
    </row>
    <row r="186" spans="2:17">
      <c r="B186" s="1" t="s">
        <v>0</v>
      </c>
      <c r="C186" s="3" t="s">
        <v>308</v>
      </c>
      <c r="D186" s="1" t="s">
        <v>1</v>
      </c>
      <c r="E186" s="4">
        <v>2</v>
      </c>
      <c r="F186" s="1" t="s">
        <v>153</v>
      </c>
      <c r="G186" s="9" t="str">
        <f t="shared" ref="G186" si="48">IF(E186="","",IF(E186=1,"L",IF(E186=2,"R","?")))</f>
        <v>R</v>
      </c>
      <c r="H186" s="1" t="s">
        <v>1</v>
      </c>
      <c r="I186" s="4">
        <v>448</v>
      </c>
      <c r="J186" s="1" t="s">
        <v>153</v>
      </c>
      <c r="K186" s="7">
        <f t="shared" ref="K186" si="49">IF(ISBLANK(I186),"",ROUND((700*I186)/800,0))</f>
        <v>392</v>
      </c>
      <c r="L186" s="1" t="s">
        <v>1</v>
      </c>
      <c r="M186" s="1">
        <v>333</v>
      </c>
      <c r="N186" s="1" t="s">
        <v>153</v>
      </c>
      <c r="O186" s="7">
        <f t="shared" ref="O186" si="50">IF(ISBLANK(M186),"",ROUND((525*(600-M186-147))/600,0))</f>
        <v>105</v>
      </c>
      <c r="P186" s="1" t="s">
        <v>449</v>
      </c>
      <c r="Q186" s="11" t="s">
        <v>309</v>
      </c>
    </row>
    <row r="187" spans="2:17">
      <c r="B187" s="1" t="s">
        <v>0</v>
      </c>
      <c r="C187" s="3" t="s">
        <v>148</v>
      </c>
      <c r="D187" s="1" t="s">
        <v>1</v>
      </c>
      <c r="E187" s="4">
        <v>2</v>
      </c>
      <c r="F187" s="1" t="s">
        <v>153</v>
      </c>
      <c r="G187" s="9" t="str">
        <f t="shared" si="42"/>
        <v>R</v>
      </c>
      <c r="H187" s="1" t="s">
        <v>1</v>
      </c>
      <c r="I187" s="4">
        <v>500</v>
      </c>
      <c r="J187" s="1" t="s">
        <v>153</v>
      </c>
      <c r="K187" s="7">
        <f t="shared" si="43"/>
        <v>438</v>
      </c>
      <c r="L187" s="1" t="s">
        <v>1</v>
      </c>
      <c r="M187" s="1">
        <v>309</v>
      </c>
      <c r="N187" s="1" t="s">
        <v>153</v>
      </c>
      <c r="O187" s="7">
        <f t="shared" si="44"/>
        <v>126</v>
      </c>
      <c r="P187" s="1" t="s">
        <v>449</v>
      </c>
      <c r="Q187" s="2" t="s">
        <v>185</v>
      </c>
    </row>
    <row r="188" spans="2:17">
      <c r="B188" s="1" t="s">
        <v>0</v>
      </c>
      <c r="C188" s="3" t="s">
        <v>149</v>
      </c>
      <c r="D188" s="1" t="s">
        <v>1</v>
      </c>
      <c r="E188" s="4">
        <v>1</v>
      </c>
      <c r="F188" s="1" t="s">
        <v>153</v>
      </c>
      <c r="G188" s="9" t="str">
        <f t="shared" si="42"/>
        <v>L</v>
      </c>
      <c r="H188" s="1" t="s">
        <v>1</v>
      </c>
      <c r="I188" s="4">
        <v>99</v>
      </c>
      <c r="J188" s="1" t="s">
        <v>153</v>
      </c>
      <c r="K188" s="7">
        <f t="shared" si="43"/>
        <v>87</v>
      </c>
      <c r="L188" s="1" t="s">
        <v>1</v>
      </c>
      <c r="M188" s="1">
        <v>174</v>
      </c>
      <c r="N188" s="1" t="s">
        <v>153</v>
      </c>
      <c r="O188" s="7">
        <f t="shared" si="44"/>
        <v>244</v>
      </c>
      <c r="P188" s="1" t="s">
        <v>449</v>
      </c>
      <c r="Q188" s="2" t="s">
        <v>186</v>
      </c>
    </row>
    <row r="189" spans="2:17">
      <c r="B189" s="1" t="s">
        <v>0</v>
      </c>
      <c r="C189" s="3" t="s">
        <v>150</v>
      </c>
      <c r="D189" s="1" t="s">
        <v>1</v>
      </c>
      <c r="E189" s="4">
        <v>1</v>
      </c>
      <c r="F189" s="1" t="s">
        <v>153</v>
      </c>
      <c r="G189" s="9" t="str">
        <f t="shared" si="42"/>
        <v>L</v>
      </c>
      <c r="H189" s="1" t="s">
        <v>1</v>
      </c>
      <c r="I189" s="4">
        <v>105</v>
      </c>
      <c r="J189" s="1" t="s">
        <v>153</v>
      </c>
      <c r="K189" s="7">
        <f t="shared" si="43"/>
        <v>92</v>
      </c>
      <c r="L189" s="1" t="s">
        <v>1</v>
      </c>
      <c r="M189" s="1">
        <v>337</v>
      </c>
      <c r="N189" s="1" t="s">
        <v>153</v>
      </c>
      <c r="O189" s="7">
        <f t="shared" si="44"/>
        <v>102</v>
      </c>
      <c r="P189" s="1" t="s">
        <v>449</v>
      </c>
      <c r="Q189" s="2" t="s">
        <v>187</v>
      </c>
    </row>
    <row r="190" spans="2:17">
      <c r="B190" s="1" t="s">
        <v>0</v>
      </c>
      <c r="C190" s="3" t="s">
        <v>151</v>
      </c>
      <c r="D190" s="1" t="s">
        <v>1</v>
      </c>
      <c r="E190" s="4">
        <v>2</v>
      </c>
      <c r="F190" s="1" t="s">
        <v>153</v>
      </c>
      <c r="G190" s="9" t="str">
        <f t="shared" si="42"/>
        <v>R</v>
      </c>
      <c r="H190" s="1" t="s">
        <v>1</v>
      </c>
      <c r="I190" s="4">
        <v>536</v>
      </c>
      <c r="J190" s="1" t="s">
        <v>153</v>
      </c>
      <c r="K190" s="7">
        <f t="shared" si="43"/>
        <v>469</v>
      </c>
      <c r="L190" s="1" t="s">
        <v>1</v>
      </c>
      <c r="M190" s="1">
        <v>279</v>
      </c>
      <c r="N190" s="1" t="s">
        <v>153</v>
      </c>
      <c r="O190" s="7">
        <f t="shared" si="44"/>
        <v>152</v>
      </c>
      <c r="P190" s="1" t="s">
        <v>449</v>
      </c>
    </row>
    <row r="191" spans="2:17">
      <c r="B191" s="1" t="s">
        <v>0</v>
      </c>
      <c r="C191" s="3" t="s">
        <v>217</v>
      </c>
      <c r="D191" s="1" t="s">
        <v>1</v>
      </c>
      <c r="E191" s="4">
        <v>1</v>
      </c>
      <c r="F191" s="1" t="s">
        <v>153</v>
      </c>
      <c r="G191" s="9" t="str">
        <f t="shared" ref="G191:G192" si="51">IF(E191="","",IF(E191=1,"L",IF(E191=2,"R","?")))</f>
        <v>L</v>
      </c>
      <c r="H191" s="1" t="s">
        <v>1</v>
      </c>
      <c r="I191" s="4">
        <v>127</v>
      </c>
      <c r="J191" s="1" t="s">
        <v>153</v>
      </c>
      <c r="K191" s="7">
        <f t="shared" ref="K191:K192" si="52">IF(ISBLANK(I191),"",ROUND((700*I191)/800,0))</f>
        <v>111</v>
      </c>
      <c r="L191" s="1" t="s">
        <v>1</v>
      </c>
      <c r="M191" s="1">
        <v>262</v>
      </c>
      <c r="N191" s="1" t="s">
        <v>153</v>
      </c>
      <c r="O191" s="7">
        <f t="shared" si="44"/>
        <v>167</v>
      </c>
      <c r="P191" s="1" t="s">
        <v>449</v>
      </c>
      <c r="Q191" s="2" t="s">
        <v>219</v>
      </c>
    </row>
    <row r="192" spans="2:17">
      <c r="B192" s="1" t="s">
        <v>0</v>
      </c>
      <c r="C192" s="3" t="s">
        <v>218</v>
      </c>
      <c r="D192" s="1" t="s">
        <v>1</v>
      </c>
      <c r="E192" s="4">
        <v>1</v>
      </c>
      <c r="F192" s="1" t="s">
        <v>153</v>
      </c>
      <c r="G192" s="9" t="str">
        <f t="shared" si="51"/>
        <v>L</v>
      </c>
      <c r="H192" s="1" t="s">
        <v>1</v>
      </c>
      <c r="I192" s="4">
        <v>97</v>
      </c>
      <c r="J192" s="1" t="s">
        <v>153</v>
      </c>
      <c r="K192" s="7">
        <f t="shared" si="52"/>
        <v>85</v>
      </c>
      <c r="L192" s="1" t="s">
        <v>1</v>
      </c>
      <c r="M192" s="1">
        <v>290</v>
      </c>
      <c r="N192" s="1" t="s">
        <v>153</v>
      </c>
      <c r="O192" s="7">
        <f t="shared" si="44"/>
        <v>143</v>
      </c>
      <c r="P192" s="1" t="s">
        <v>449</v>
      </c>
    </row>
    <row r="193" spans="2:17">
      <c r="B193" s="1" t="s">
        <v>0</v>
      </c>
      <c r="C193" s="3" t="s">
        <v>220</v>
      </c>
      <c r="D193" s="1" t="s">
        <v>1</v>
      </c>
      <c r="E193" s="4">
        <v>2</v>
      </c>
      <c r="F193" s="1" t="s">
        <v>153</v>
      </c>
      <c r="G193" s="9" t="str">
        <f t="shared" ref="G193:G198" si="53">IF(E193="","",IF(E193=1,"L",IF(E193=2,"R","?")))</f>
        <v>R</v>
      </c>
      <c r="H193" s="1" t="s">
        <v>1</v>
      </c>
      <c r="I193" s="4">
        <v>513</v>
      </c>
      <c r="J193" s="1" t="s">
        <v>153</v>
      </c>
      <c r="K193" s="7">
        <f t="shared" ref="K193:K198" si="54">IF(ISBLANK(I193),"",ROUND((700*I193)/800,0))</f>
        <v>449</v>
      </c>
      <c r="L193" s="1" t="s">
        <v>1</v>
      </c>
      <c r="M193" s="1">
        <v>227</v>
      </c>
      <c r="N193" s="1" t="s">
        <v>153</v>
      </c>
      <c r="O193" s="7">
        <f t="shared" ref="O193:O198" si="55">IF(ISBLANK(M193),"",ROUND((525*(600-M193-147))/600,0))</f>
        <v>198</v>
      </c>
      <c r="P193" s="1" t="s">
        <v>449</v>
      </c>
      <c r="Q193" s="2" t="s">
        <v>226</v>
      </c>
    </row>
    <row r="194" spans="2:17">
      <c r="B194" s="1" t="s">
        <v>0</v>
      </c>
      <c r="C194" s="3" t="s">
        <v>221</v>
      </c>
      <c r="D194" s="1" t="s">
        <v>1</v>
      </c>
      <c r="E194" s="4">
        <v>2</v>
      </c>
      <c r="F194" s="1" t="s">
        <v>153</v>
      </c>
      <c r="G194" s="9" t="str">
        <f t="shared" si="53"/>
        <v>R</v>
      </c>
      <c r="H194" s="1" t="s">
        <v>1</v>
      </c>
      <c r="I194" s="4">
        <v>470</v>
      </c>
      <c r="J194" s="1" t="s">
        <v>153</v>
      </c>
      <c r="K194" s="7">
        <f t="shared" si="54"/>
        <v>411</v>
      </c>
      <c r="L194" s="1" t="s">
        <v>1</v>
      </c>
      <c r="M194" s="1">
        <v>198</v>
      </c>
      <c r="N194" s="1" t="s">
        <v>153</v>
      </c>
      <c r="O194" s="7">
        <f t="shared" si="55"/>
        <v>223</v>
      </c>
      <c r="P194" s="1" t="s">
        <v>449</v>
      </c>
      <c r="Q194" s="2" t="s">
        <v>227</v>
      </c>
    </row>
    <row r="195" spans="2:17">
      <c r="B195" s="1" t="s">
        <v>0</v>
      </c>
      <c r="C195" s="3" t="s">
        <v>222</v>
      </c>
      <c r="D195" s="1" t="s">
        <v>1</v>
      </c>
      <c r="E195" s="4">
        <v>2</v>
      </c>
      <c r="F195" s="1" t="s">
        <v>153</v>
      </c>
      <c r="G195" s="9" t="str">
        <f t="shared" si="53"/>
        <v>R</v>
      </c>
      <c r="H195" s="1" t="s">
        <v>1</v>
      </c>
      <c r="I195" s="4">
        <v>530</v>
      </c>
      <c r="J195" s="1" t="s">
        <v>153</v>
      </c>
      <c r="K195" s="7">
        <f t="shared" si="54"/>
        <v>464</v>
      </c>
      <c r="L195" s="1" t="s">
        <v>1</v>
      </c>
      <c r="M195" s="1">
        <v>235</v>
      </c>
      <c r="N195" s="1" t="s">
        <v>153</v>
      </c>
      <c r="O195" s="7">
        <f t="shared" si="55"/>
        <v>191</v>
      </c>
      <c r="P195" s="1" t="s">
        <v>449</v>
      </c>
      <c r="Q195" s="2" t="s">
        <v>228</v>
      </c>
    </row>
    <row r="196" spans="2:17">
      <c r="B196" s="1" t="s">
        <v>0</v>
      </c>
      <c r="C196" s="3" t="s">
        <v>223</v>
      </c>
      <c r="D196" s="1" t="s">
        <v>1</v>
      </c>
      <c r="E196" s="4">
        <v>2</v>
      </c>
      <c r="F196" s="1" t="s">
        <v>153</v>
      </c>
      <c r="G196" s="9" t="str">
        <f t="shared" si="53"/>
        <v>R</v>
      </c>
      <c r="H196" s="1" t="s">
        <v>1</v>
      </c>
      <c r="I196" s="4">
        <v>486</v>
      </c>
      <c r="J196" s="1" t="s">
        <v>153</v>
      </c>
      <c r="K196" s="7">
        <f t="shared" si="54"/>
        <v>425</v>
      </c>
      <c r="L196" s="1" t="s">
        <v>1</v>
      </c>
      <c r="M196" s="1">
        <v>327</v>
      </c>
      <c r="N196" s="1" t="s">
        <v>153</v>
      </c>
      <c r="O196" s="7">
        <f t="shared" si="55"/>
        <v>110</v>
      </c>
      <c r="P196" s="1" t="s">
        <v>449</v>
      </c>
      <c r="Q196" s="2" t="s">
        <v>229</v>
      </c>
    </row>
    <row r="197" spans="2:17">
      <c r="B197" s="1" t="s">
        <v>0</v>
      </c>
      <c r="C197" s="3" t="s">
        <v>224</v>
      </c>
      <c r="D197" s="1" t="s">
        <v>1</v>
      </c>
      <c r="E197" s="4">
        <v>1</v>
      </c>
      <c r="F197" s="1" t="s">
        <v>153</v>
      </c>
      <c r="G197" s="9" t="str">
        <f t="shared" si="53"/>
        <v>L</v>
      </c>
      <c r="H197" s="1" t="s">
        <v>1</v>
      </c>
      <c r="I197" s="4">
        <v>319</v>
      </c>
      <c r="J197" s="1" t="s">
        <v>153</v>
      </c>
      <c r="K197" s="7">
        <f t="shared" si="54"/>
        <v>279</v>
      </c>
      <c r="L197" s="1" t="s">
        <v>1</v>
      </c>
      <c r="M197" s="1">
        <v>312</v>
      </c>
      <c r="N197" s="1" t="s">
        <v>153</v>
      </c>
      <c r="O197" s="7">
        <f t="shared" si="55"/>
        <v>123</v>
      </c>
      <c r="P197" s="1" t="s">
        <v>449</v>
      </c>
      <c r="Q197" s="2" t="s">
        <v>230</v>
      </c>
    </row>
    <row r="198" spans="2:17">
      <c r="B198" s="1" t="s">
        <v>0</v>
      </c>
      <c r="C198" s="3" t="s">
        <v>225</v>
      </c>
      <c r="D198" s="1" t="s">
        <v>1</v>
      </c>
      <c r="E198" s="4">
        <v>1</v>
      </c>
      <c r="F198" s="1" t="s">
        <v>153</v>
      </c>
      <c r="G198" s="9" t="str">
        <f t="shared" si="53"/>
        <v>L</v>
      </c>
      <c r="H198" s="1" t="s">
        <v>1</v>
      </c>
      <c r="I198" s="4">
        <v>185</v>
      </c>
      <c r="J198" s="1" t="s">
        <v>153</v>
      </c>
      <c r="K198" s="7">
        <f t="shared" si="54"/>
        <v>162</v>
      </c>
      <c r="L198" s="1" t="s">
        <v>1</v>
      </c>
      <c r="M198" s="1">
        <v>197</v>
      </c>
      <c r="N198" s="1" t="s">
        <v>153</v>
      </c>
      <c r="O198" s="7">
        <f t="shared" si="55"/>
        <v>224</v>
      </c>
      <c r="P198" s="1" t="s">
        <v>449</v>
      </c>
      <c r="Q198" s="2" t="s">
        <v>231</v>
      </c>
    </row>
    <row r="199" spans="2:17">
      <c r="B199" s="1" t="s">
        <v>0</v>
      </c>
      <c r="C199" s="3" t="s">
        <v>232</v>
      </c>
      <c r="D199" s="1" t="s">
        <v>1</v>
      </c>
      <c r="E199" s="4">
        <v>2</v>
      </c>
      <c r="F199" s="1" t="s">
        <v>153</v>
      </c>
      <c r="G199" s="9" t="str">
        <f t="shared" ref="G199:G205" si="56">IF(E199="","",IF(E199=1,"L",IF(E199=2,"R","?")))</f>
        <v>R</v>
      </c>
      <c r="H199" s="1" t="s">
        <v>1</v>
      </c>
      <c r="I199" s="4">
        <v>488</v>
      </c>
      <c r="J199" s="1" t="s">
        <v>153</v>
      </c>
      <c r="K199" s="7">
        <f t="shared" ref="K199:K205" si="57">IF(ISBLANK(I199),"",ROUND((700*I199)/800,0))</f>
        <v>427</v>
      </c>
      <c r="L199" s="1" t="s">
        <v>1</v>
      </c>
      <c r="M199" s="1">
        <v>187</v>
      </c>
      <c r="N199" s="1" t="s">
        <v>153</v>
      </c>
      <c r="O199" s="7">
        <f t="shared" ref="O199:O205" si="58">IF(ISBLANK(M199),"",ROUND((525*(600-M199-147))/600,0))</f>
        <v>233</v>
      </c>
      <c r="P199" s="1" t="s">
        <v>449</v>
      </c>
      <c r="Q199" s="2" t="s">
        <v>238</v>
      </c>
    </row>
    <row r="200" spans="2:17">
      <c r="B200" s="1" t="s">
        <v>0</v>
      </c>
      <c r="C200" s="3" t="s">
        <v>244</v>
      </c>
      <c r="D200" s="1" t="s">
        <v>1</v>
      </c>
      <c r="E200" s="4">
        <v>1</v>
      </c>
      <c r="F200" s="1" t="s">
        <v>153</v>
      </c>
      <c r="G200" s="9" t="str">
        <f t="shared" si="56"/>
        <v>L</v>
      </c>
      <c r="H200" s="1" t="s">
        <v>1</v>
      </c>
      <c r="I200" s="4">
        <v>274</v>
      </c>
      <c r="J200" s="1" t="s">
        <v>153</v>
      </c>
      <c r="K200" s="7">
        <f t="shared" si="57"/>
        <v>240</v>
      </c>
      <c r="L200" s="1" t="s">
        <v>1</v>
      </c>
      <c r="M200" s="1">
        <v>232</v>
      </c>
      <c r="N200" s="1" t="s">
        <v>153</v>
      </c>
      <c r="O200" s="7">
        <f t="shared" si="58"/>
        <v>193</v>
      </c>
      <c r="P200" s="1" t="s">
        <v>449</v>
      </c>
      <c r="Q200" s="2" t="s">
        <v>239</v>
      </c>
    </row>
    <row r="201" spans="2:17">
      <c r="B201" s="1" t="s">
        <v>0</v>
      </c>
      <c r="C201" s="3" t="s">
        <v>233</v>
      </c>
      <c r="D201" s="1" t="s">
        <v>1</v>
      </c>
      <c r="E201" s="4">
        <v>1</v>
      </c>
      <c r="F201" s="1" t="s">
        <v>153</v>
      </c>
      <c r="G201" s="9" t="str">
        <f t="shared" si="56"/>
        <v>L</v>
      </c>
      <c r="H201" s="1" t="s">
        <v>1</v>
      </c>
      <c r="I201" s="4">
        <v>188</v>
      </c>
      <c r="J201" s="1" t="s">
        <v>153</v>
      </c>
      <c r="K201" s="7">
        <f t="shared" si="57"/>
        <v>165</v>
      </c>
      <c r="L201" s="1" t="s">
        <v>1</v>
      </c>
      <c r="M201" s="1">
        <v>271</v>
      </c>
      <c r="N201" s="1" t="s">
        <v>153</v>
      </c>
      <c r="O201" s="7">
        <f t="shared" si="58"/>
        <v>159</v>
      </c>
      <c r="P201" s="1" t="s">
        <v>449</v>
      </c>
      <c r="Q201" s="2" t="s">
        <v>241</v>
      </c>
    </row>
    <row r="202" spans="2:17">
      <c r="B202" s="1" t="s">
        <v>0</v>
      </c>
      <c r="C202" s="3" t="s">
        <v>234</v>
      </c>
      <c r="D202" s="1" t="s">
        <v>1</v>
      </c>
      <c r="E202" s="4">
        <v>1</v>
      </c>
      <c r="F202" s="1" t="s">
        <v>153</v>
      </c>
      <c r="G202" s="9" t="str">
        <f t="shared" si="56"/>
        <v>L</v>
      </c>
      <c r="H202" s="1" t="s">
        <v>1</v>
      </c>
      <c r="I202" s="4">
        <v>129</v>
      </c>
      <c r="J202" s="1" t="s">
        <v>153</v>
      </c>
      <c r="K202" s="7">
        <f t="shared" si="57"/>
        <v>113</v>
      </c>
      <c r="L202" s="1" t="s">
        <v>1</v>
      </c>
      <c r="M202" s="1">
        <v>349</v>
      </c>
      <c r="N202" s="1" t="s">
        <v>153</v>
      </c>
      <c r="O202" s="7">
        <f t="shared" si="58"/>
        <v>91</v>
      </c>
      <c r="P202" s="1" t="s">
        <v>449</v>
      </c>
      <c r="Q202" s="2" t="s">
        <v>243</v>
      </c>
    </row>
    <row r="203" spans="2:17">
      <c r="B203" s="1" t="s">
        <v>0</v>
      </c>
      <c r="C203" s="3" t="s">
        <v>235</v>
      </c>
      <c r="D203" s="1" t="s">
        <v>1</v>
      </c>
      <c r="E203" s="4">
        <v>1</v>
      </c>
      <c r="F203" s="1" t="s">
        <v>153</v>
      </c>
      <c r="G203" s="9" t="str">
        <f t="shared" si="56"/>
        <v>L</v>
      </c>
      <c r="H203" s="1" t="s">
        <v>1</v>
      </c>
      <c r="I203" s="4">
        <v>220</v>
      </c>
      <c r="J203" s="1" t="s">
        <v>153</v>
      </c>
      <c r="K203" s="7">
        <f t="shared" si="57"/>
        <v>193</v>
      </c>
      <c r="L203" s="1" t="s">
        <v>1</v>
      </c>
      <c r="M203" s="1">
        <v>298</v>
      </c>
      <c r="N203" s="1" t="s">
        <v>153</v>
      </c>
      <c r="O203" s="7">
        <f t="shared" si="58"/>
        <v>136</v>
      </c>
      <c r="P203" s="1" t="s">
        <v>449</v>
      </c>
      <c r="Q203" s="2" t="s">
        <v>242</v>
      </c>
    </row>
    <row r="204" spans="2:17">
      <c r="B204" s="1" t="s">
        <v>0</v>
      </c>
      <c r="C204" s="3" t="s">
        <v>236</v>
      </c>
      <c r="D204" s="1" t="s">
        <v>1</v>
      </c>
      <c r="E204" s="4">
        <v>1</v>
      </c>
      <c r="F204" s="1" t="s">
        <v>153</v>
      </c>
      <c r="G204" s="9" t="str">
        <f t="shared" si="56"/>
        <v>L</v>
      </c>
      <c r="H204" s="1" t="s">
        <v>1</v>
      </c>
      <c r="I204" s="4">
        <v>124</v>
      </c>
      <c r="J204" s="1" t="s">
        <v>153</v>
      </c>
      <c r="K204" s="7">
        <f t="shared" si="57"/>
        <v>109</v>
      </c>
      <c r="L204" s="1" t="s">
        <v>1</v>
      </c>
      <c r="M204" s="1">
        <v>316</v>
      </c>
      <c r="N204" s="1" t="s">
        <v>153</v>
      </c>
      <c r="O204" s="7">
        <f t="shared" si="58"/>
        <v>120</v>
      </c>
      <c r="P204" s="1" t="s">
        <v>449</v>
      </c>
      <c r="Q204" s="2" t="s">
        <v>240</v>
      </c>
    </row>
    <row r="205" spans="2:17">
      <c r="B205" s="1" t="s">
        <v>0</v>
      </c>
      <c r="C205" s="3" t="s">
        <v>237</v>
      </c>
      <c r="D205" s="1" t="s">
        <v>1</v>
      </c>
      <c r="E205" s="4">
        <v>1</v>
      </c>
      <c r="F205" s="1" t="s">
        <v>153</v>
      </c>
      <c r="G205" s="9" t="str">
        <f t="shared" si="56"/>
        <v>L</v>
      </c>
      <c r="H205" s="1" t="s">
        <v>1</v>
      </c>
      <c r="I205" s="4">
        <v>186</v>
      </c>
      <c r="J205" s="1" t="s">
        <v>153</v>
      </c>
      <c r="K205" s="7">
        <f t="shared" si="57"/>
        <v>163</v>
      </c>
      <c r="L205" s="1" t="s">
        <v>1</v>
      </c>
      <c r="M205" s="1">
        <v>298</v>
      </c>
      <c r="N205" s="1" t="s">
        <v>153</v>
      </c>
      <c r="O205" s="7">
        <f t="shared" si="58"/>
        <v>136</v>
      </c>
      <c r="P205" s="1" t="s">
        <v>449</v>
      </c>
      <c r="Q205" s="2" t="s">
        <v>200</v>
      </c>
    </row>
    <row r="206" spans="2:17">
      <c r="B206" s="1" t="s">
        <v>0</v>
      </c>
      <c r="C206" s="3" t="s">
        <v>245</v>
      </c>
      <c r="D206" s="1" t="s">
        <v>1</v>
      </c>
      <c r="E206" s="4">
        <v>1</v>
      </c>
      <c r="F206" s="1" t="s">
        <v>153</v>
      </c>
      <c r="G206" s="9" t="str">
        <f t="shared" ref="G206:G219" si="59">IF(E206="","",IF(E206=1,"L",IF(E206=2,"R","?")))</f>
        <v>L</v>
      </c>
      <c r="H206" s="1" t="s">
        <v>1</v>
      </c>
      <c r="I206" s="4">
        <v>345</v>
      </c>
      <c r="J206" s="1" t="s">
        <v>153</v>
      </c>
      <c r="K206" s="7">
        <f t="shared" ref="K206:K219" si="60">IF(ISBLANK(I206),"",ROUND((700*I206)/800,0))</f>
        <v>302</v>
      </c>
      <c r="L206" s="1" t="s">
        <v>1</v>
      </c>
      <c r="M206" s="1">
        <v>183</v>
      </c>
      <c r="N206" s="1" t="s">
        <v>153</v>
      </c>
      <c r="O206" s="7">
        <f t="shared" ref="O206:O219" si="61">IF(ISBLANK(M206),"",ROUND((525*(600-M206-147))/600,0))</f>
        <v>236</v>
      </c>
      <c r="P206" s="1" t="s">
        <v>449</v>
      </c>
      <c r="Q206" s="2" t="s">
        <v>259</v>
      </c>
    </row>
    <row r="207" spans="2:17">
      <c r="B207" s="1" t="s">
        <v>0</v>
      </c>
      <c r="C207" s="3" t="s">
        <v>246</v>
      </c>
      <c r="D207" s="1" t="s">
        <v>1</v>
      </c>
      <c r="E207" s="4">
        <v>1</v>
      </c>
      <c r="F207" s="1" t="s">
        <v>153</v>
      </c>
      <c r="G207" s="9" t="str">
        <f t="shared" si="59"/>
        <v>L</v>
      </c>
      <c r="H207" s="1" t="s">
        <v>1</v>
      </c>
      <c r="I207" s="4">
        <v>146</v>
      </c>
      <c r="J207" s="1" t="s">
        <v>153</v>
      </c>
      <c r="K207" s="7">
        <f t="shared" si="60"/>
        <v>128</v>
      </c>
      <c r="L207" s="1" t="s">
        <v>1</v>
      </c>
      <c r="M207" s="1">
        <v>244</v>
      </c>
      <c r="N207" s="1" t="s">
        <v>153</v>
      </c>
      <c r="O207" s="7">
        <f t="shared" si="61"/>
        <v>183</v>
      </c>
      <c r="P207" s="1" t="s">
        <v>449</v>
      </c>
      <c r="Q207" s="2" t="s">
        <v>260</v>
      </c>
    </row>
    <row r="208" spans="2:17">
      <c r="B208" s="1" t="s">
        <v>0</v>
      </c>
      <c r="C208" s="3" t="s">
        <v>247</v>
      </c>
      <c r="D208" s="1" t="s">
        <v>1</v>
      </c>
      <c r="E208" s="4">
        <v>1</v>
      </c>
      <c r="F208" s="1" t="s">
        <v>153</v>
      </c>
      <c r="G208" s="9" t="str">
        <f t="shared" si="59"/>
        <v>L</v>
      </c>
      <c r="H208" s="1" t="s">
        <v>1</v>
      </c>
      <c r="I208" s="4">
        <v>237</v>
      </c>
      <c r="J208" s="1" t="s">
        <v>153</v>
      </c>
      <c r="K208" s="7">
        <f t="shared" si="60"/>
        <v>207</v>
      </c>
      <c r="L208" s="1" t="s">
        <v>1</v>
      </c>
      <c r="M208" s="1">
        <v>258</v>
      </c>
      <c r="N208" s="1" t="s">
        <v>153</v>
      </c>
      <c r="O208" s="7">
        <f t="shared" si="61"/>
        <v>171</v>
      </c>
      <c r="P208" s="1" t="s">
        <v>449</v>
      </c>
      <c r="Q208" s="2" t="s">
        <v>261</v>
      </c>
    </row>
    <row r="209" spans="2:17">
      <c r="B209" s="1" t="s">
        <v>0</v>
      </c>
      <c r="C209" s="3" t="s">
        <v>248</v>
      </c>
      <c r="D209" s="1" t="s">
        <v>1</v>
      </c>
      <c r="E209" s="4">
        <v>1</v>
      </c>
      <c r="F209" s="1" t="s">
        <v>153</v>
      </c>
      <c r="G209" s="9" t="str">
        <f t="shared" si="59"/>
        <v>L</v>
      </c>
      <c r="H209" s="1" t="s">
        <v>1</v>
      </c>
      <c r="I209" s="4">
        <v>345</v>
      </c>
      <c r="J209" s="1" t="s">
        <v>153</v>
      </c>
      <c r="K209" s="7">
        <f t="shared" si="60"/>
        <v>302</v>
      </c>
      <c r="L209" s="1" t="s">
        <v>1</v>
      </c>
      <c r="M209" s="1">
        <v>183</v>
      </c>
      <c r="N209" s="1" t="s">
        <v>153</v>
      </c>
      <c r="O209" s="7">
        <f t="shared" si="61"/>
        <v>236</v>
      </c>
      <c r="P209" s="1" t="s">
        <v>449</v>
      </c>
      <c r="Q209" s="2" t="s">
        <v>262</v>
      </c>
    </row>
    <row r="210" spans="2:17">
      <c r="B210" s="1" t="s">
        <v>0</v>
      </c>
      <c r="C210" s="3" t="s">
        <v>249</v>
      </c>
      <c r="D210" s="1" t="s">
        <v>1</v>
      </c>
      <c r="E210" s="4">
        <v>1</v>
      </c>
      <c r="F210" s="1" t="s">
        <v>153</v>
      </c>
      <c r="G210" s="9" t="str">
        <f t="shared" si="59"/>
        <v>L</v>
      </c>
      <c r="H210" s="1" t="s">
        <v>1</v>
      </c>
      <c r="I210" s="4">
        <v>208</v>
      </c>
      <c r="J210" s="1" t="s">
        <v>153</v>
      </c>
      <c r="K210" s="7">
        <f t="shared" si="60"/>
        <v>182</v>
      </c>
      <c r="L210" s="1" t="s">
        <v>1</v>
      </c>
      <c r="M210" s="1">
        <v>292</v>
      </c>
      <c r="N210" s="1" t="s">
        <v>153</v>
      </c>
      <c r="O210" s="7">
        <f t="shared" si="61"/>
        <v>141</v>
      </c>
      <c r="P210" s="1" t="s">
        <v>449</v>
      </c>
      <c r="Q210" s="2" t="s">
        <v>263</v>
      </c>
    </row>
    <row r="211" spans="2:17">
      <c r="B211" s="1" t="s">
        <v>0</v>
      </c>
      <c r="C211" s="3" t="s">
        <v>250</v>
      </c>
      <c r="D211" s="1" t="s">
        <v>1</v>
      </c>
      <c r="E211" s="4">
        <v>1</v>
      </c>
      <c r="F211" s="1" t="s">
        <v>153</v>
      </c>
      <c r="G211" s="9" t="str">
        <f t="shared" si="59"/>
        <v>L</v>
      </c>
      <c r="H211" s="1" t="s">
        <v>1</v>
      </c>
      <c r="I211" s="4">
        <v>288</v>
      </c>
      <c r="J211" s="1" t="s">
        <v>153</v>
      </c>
      <c r="K211" s="7">
        <f t="shared" si="60"/>
        <v>252</v>
      </c>
      <c r="L211" s="1" t="s">
        <v>1</v>
      </c>
      <c r="M211" s="1">
        <v>266</v>
      </c>
      <c r="N211" s="1" t="s">
        <v>153</v>
      </c>
      <c r="O211" s="7">
        <f t="shared" si="61"/>
        <v>164</v>
      </c>
      <c r="P211" s="1" t="s">
        <v>449</v>
      </c>
      <c r="Q211" s="2" t="s">
        <v>264</v>
      </c>
    </row>
    <row r="212" spans="2:17">
      <c r="B212" s="1" t="s">
        <v>0</v>
      </c>
      <c r="C212" s="3" t="s">
        <v>251</v>
      </c>
      <c r="D212" s="1" t="s">
        <v>1</v>
      </c>
      <c r="E212" s="4">
        <v>1</v>
      </c>
      <c r="F212" s="1" t="s">
        <v>153</v>
      </c>
      <c r="G212" s="9" t="str">
        <f t="shared" si="59"/>
        <v>L</v>
      </c>
      <c r="H212" s="1" t="s">
        <v>1</v>
      </c>
      <c r="I212" s="4">
        <v>302</v>
      </c>
      <c r="J212" s="1" t="s">
        <v>153</v>
      </c>
      <c r="K212" s="7">
        <f t="shared" si="60"/>
        <v>264</v>
      </c>
      <c r="L212" s="1" t="s">
        <v>1</v>
      </c>
      <c r="M212" s="1">
        <v>302</v>
      </c>
      <c r="N212" s="1" t="s">
        <v>153</v>
      </c>
      <c r="O212" s="7">
        <f t="shared" si="61"/>
        <v>132</v>
      </c>
      <c r="P212" s="1" t="s">
        <v>449</v>
      </c>
      <c r="Q212" s="2" t="s">
        <v>265</v>
      </c>
    </row>
    <row r="213" spans="2:17">
      <c r="B213" s="1" t="s">
        <v>0</v>
      </c>
      <c r="C213" s="3" t="s">
        <v>252</v>
      </c>
      <c r="D213" s="1" t="s">
        <v>1</v>
      </c>
      <c r="E213" s="4">
        <v>1</v>
      </c>
      <c r="F213" s="1" t="s">
        <v>153</v>
      </c>
      <c r="G213" s="9" t="str">
        <f t="shared" si="59"/>
        <v>L</v>
      </c>
      <c r="H213" s="1" t="s">
        <v>1</v>
      </c>
      <c r="I213" s="4">
        <v>211</v>
      </c>
      <c r="J213" s="1" t="s">
        <v>153</v>
      </c>
      <c r="K213" s="7">
        <f t="shared" si="60"/>
        <v>185</v>
      </c>
      <c r="L213" s="1" t="s">
        <v>1</v>
      </c>
      <c r="M213" s="1">
        <v>284</v>
      </c>
      <c r="N213" s="1" t="s">
        <v>153</v>
      </c>
      <c r="O213" s="7">
        <f t="shared" si="61"/>
        <v>148</v>
      </c>
      <c r="P213" s="1" t="s">
        <v>449</v>
      </c>
      <c r="Q213" s="2" t="s">
        <v>266</v>
      </c>
    </row>
    <row r="214" spans="2:17">
      <c r="B214" s="1" t="s">
        <v>0</v>
      </c>
      <c r="C214" s="3" t="s">
        <v>253</v>
      </c>
      <c r="D214" s="1" t="s">
        <v>1</v>
      </c>
      <c r="E214" s="4">
        <v>1</v>
      </c>
      <c r="F214" s="1" t="s">
        <v>153</v>
      </c>
      <c r="G214" s="9" t="str">
        <f t="shared" si="59"/>
        <v>L</v>
      </c>
      <c r="H214" s="1" t="s">
        <v>1</v>
      </c>
      <c r="I214" s="4">
        <v>135</v>
      </c>
      <c r="J214" s="1" t="s">
        <v>153</v>
      </c>
      <c r="K214" s="7">
        <f t="shared" si="60"/>
        <v>118</v>
      </c>
      <c r="L214" s="1" t="s">
        <v>1</v>
      </c>
      <c r="M214" s="1">
        <v>276</v>
      </c>
      <c r="N214" s="1" t="s">
        <v>153</v>
      </c>
      <c r="O214" s="7">
        <f t="shared" si="61"/>
        <v>155</v>
      </c>
      <c r="P214" s="1" t="s">
        <v>449</v>
      </c>
      <c r="Q214" s="2" t="s">
        <v>268</v>
      </c>
    </row>
    <row r="215" spans="2:17">
      <c r="B215" s="1" t="s">
        <v>0</v>
      </c>
      <c r="C215" s="3" t="s">
        <v>254</v>
      </c>
      <c r="D215" s="1" t="s">
        <v>1</v>
      </c>
      <c r="E215" s="4">
        <v>1</v>
      </c>
      <c r="F215" s="1" t="s">
        <v>153</v>
      </c>
      <c r="G215" s="9" t="str">
        <f t="shared" si="59"/>
        <v>L</v>
      </c>
      <c r="H215" s="1" t="s">
        <v>1</v>
      </c>
      <c r="I215" s="4">
        <v>385</v>
      </c>
      <c r="J215" s="1" t="s">
        <v>153</v>
      </c>
      <c r="K215" s="7">
        <f t="shared" si="60"/>
        <v>337</v>
      </c>
      <c r="L215" s="1" t="s">
        <v>1</v>
      </c>
      <c r="M215" s="1">
        <v>264</v>
      </c>
      <c r="N215" s="1" t="s">
        <v>153</v>
      </c>
      <c r="O215" s="7">
        <f t="shared" si="61"/>
        <v>165</v>
      </c>
      <c r="P215" s="1" t="s">
        <v>449</v>
      </c>
      <c r="Q215" s="2" t="s">
        <v>267</v>
      </c>
    </row>
    <row r="216" spans="2:17">
      <c r="B216" s="1" t="s">
        <v>0</v>
      </c>
      <c r="C216" s="3" t="s">
        <v>255</v>
      </c>
      <c r="D216" s="1" t="s">
        <v>1</v>
      </c>
      <c r="E216" s="4">
        <v>1</v>
      </c>
      <c r="F216" s="1" t="s">
        <v>153</v>
      </c>
      <c r="G216" s="9" t="str">
        <f t="shared" si="59"/>
        <v>L</v>
      </c>
      <c r="H216" s="1" t="s">
        <v>1</v>
      </c>
      <c r="I216" s="4">
        <v>131</v>
      </c>
      <c r="J216" s="1" t="s">
        <v>153</v>
      </c>
      <c r="K216" s="7">
        <f t="shared" si="60"/>
        <v>115</v>
      </c>
      <c r="L216" s="1" t="s">
        <v>1</v>
      </c>
      <c r="M216" s="1">
        <v>295</v>
      </c>
      <c r="N216" s="1" t="s">
        <v>153</v>
      </c>
      <c r="O216" s="7">
        <f t="shared" si="61"/>
        <v>138</v>
      </c>
      <c r="P216" s="1" t="s">
        <v>449</v>
      </c>
      <c r="Q216" s="2" t="s">
        <v>269</v>
      </c>
    </row>
    <row r="217" spans="2:17">
      <c r="B217" s="1" t="s">
        <v>0</v>
      </c>
      <c r="C217" s="3" t="s">
        <v>256</v>
      </c>
      <c r="D217" s="1" t="s">
        <v>1</v>
      </c>
      <c r="E217" s="4">
        <v>1</v>
      </c>
      <c r="F217" s="1" t="s">
        <v>153</v>
      </c>
      <c r="G217" s="9" t="str">
        <f t="shared" si="59"/>
        <v>L</v>
      </c>
      <c r="H217" s="1" t="s">
        <v>1</v>
      </c>
      <c r="I217" s="4">
        <v>132</v>
      </c>
      <c r="J217" s="1" t="s">
        <v>153</v>
      </c>
      <c r="K217" s="7">
        <f t="shared" si="60"/>
        <v>116</v>
      </c>
      <c r="L217" s="1" t="s">
        <v>1</v>
      </c>
      <c r="M217" s="1">
        <v>297</v>
      </c>
      <c r="N217" s="1" t="s">
        <v>153</v>
      </c>
      <c r="O217" s="7">
        <f t="shared" si="61"/>
        <v>137</v>
      </c>
      <c r="P217" s="1" t="s">
        <v>449</v>
      </c>
      <c r="Q217" s="2" t="s">
        <v>270</v>
      </c>
    </row>
    <row r="218" spans="2:17">
      <c r="B218" s="1" t="s">
        <v>0</v>
      </c>
      <c r="C218" s="3" t="s">
        <v>257</v>
      </c>
      <c r="D218" s="1" t="s">
        <v>1</v>
      </c>
      <c r="E218" s="4">
        <v>1</v>
      </c>
      <c r="F218" s="1" t="s">
        <v>153</v>
      </c>
      <c r="G218" s="9" t="str">
        <f t="shared" si="59"/>
        <v>L</v>
      </c>
      <c r="H218" s="1" t="s">
        <v>1</v>
      </c>
      <c r="I218" s="4">
        <v>330</v>
      </c>
      <c r="J218" s="1" t="s">
        <v>153</v>
      </c>
      <c r="K218" s="7">
        <f t="shared" si="60"/>
        <v>289</v>
      </c>
      <c r="L218" s="1" t="s">
        <v>1</v>
      </c>
      <c r="M218" s="1">
        <v>210</v>
      </c>
      <c r="N218" s="1" t="s">
        <v>153</v>
      </c>
      <c r="O218" s="7">
        <f t="shared" si="61"/>
        <v>213</v>
      </c>
      <c r="P218" s="1" t="s">
        <v>449</v>
      </c>
      <c r="Q218" s="2" t="s">
        <v>271</v>
      </c>
    </row>
    <row r="219" spans="2:17">
      <c r="B219" s="1" t="s">
        <v>0</v>
      </c>
      <c r="C219" s="3" t="s">
        <v>258</v>
      </c>
      <c r="D219" s="1" t="s">
        <v>1</v>
      </c>
      <c r="E219" s="4">
        <v>1</v>
      </c>
      <c r="F219" s="1" t="s">
        <v>153</v>
      </c>
      <c r="G219" s="9" t="str">
        <f t="shared" si="59"/>
        <v>L</v>
      </c>
      <c r="H219" s="1" t="s">
        <v>1</v>
      </c>
      <c r="I219" s="4">
        <v>329</v>
      </c>
      <c r="J219" s="1" t="s">
        <v>153</v>
      </c>
      <c r="K219" s="7">
        <f t="shared" si="60"/>
        <v>288</v>
      </c>
      <c r="L219" s="1" t="s">
        <v>1</v>
      </c>
      <c r="M219" s="1">
        <v>270</v>
      </c>
      <c r="N219" s="1" t="s">
        <v>153</v>
      </c>
      <c r="O219" s="7">
        <f t="shared" si="61"/>
        <v>160</v>
      </c>
      <c r="P219" s="1" t="s">
        <v>449</v>
      </c>
      <c r="Q219" s="2" t="s">
        <v>272</v>
      </c>
    </row>
    <row r="220" spans="2:17">
      <c r="B220" s="1" t="s">
        <v>0</v>
      </c>
      <c r="C220" s="3" t="s">
        <v>282</v>
      </c>
      <c r="D220" s="1" t="s">
        <v>1</v>
      </c>
      <c r="E220" s="4">
        <v>1</v>
      </c>
      <c r="F220" s="1" t="s">
        <v>153</v>
      </c>
      <c r="G220" s="9" t="str">
        <f t="shared" ref="G220:G227" si="62">IF(E220="","",IF(E220=1,"L",IF(E220=2,"R","?")))</f>
        <v>L</v>
      </c>
      <c r="H220" s="1" t="s">
        <v>1</v>
      </c>
      <c r="I220" s="4">
        <v>230</v>
      </c>
      <c r="J220" s="1" t="s">
        <v>153</v>
      </c>
      <c r="K220" s="7">
        <f t="shared" ref="K220:K227" si="63">IF(ISBLANK(I220),"",ROUND((700*I220)/800,0))</f>
        <v>201</v>
      </c>
      <c r="L220" s="1" t="s">
        <v>1</v>
      </c>
      <c r="M220" s="1">
        <v>217</v>
      </c>
      <c r="N220" s="1" t="s">
        <v>153</v>
      </c>
      <c r="O220" s="7">
        <f t="shared" ref="O220:O227" si="64">IF(ISBLANK(M220),"",ROUND((525*(600-M220-147))/600,0))</f>
        <v>207</v>
      </c>
      <c r="P220" s="1" t="s">
        <v>449</v>
      </c>
      <c r="Q220" s="13" t="s">
        <v>345</v>
      </c>
    </row>
    <row r="221" spans="2:17">
      <c r="B221" s="1" t="s">
        <v>0</v>
      </c>
      <c r="C221" s="3" t="s">
        <v>283</v>
      </c>
      <c r="D221" s="1" t="s">
        <v>1</v>
      </c>
      <c r="E221" s="4">
        <v>1</v>
      </c>
      <c r="F221" s="1" t="s">
        <v>153</v>
      </c>
      <c r="G221" s="9" t="str">
        <f t="shared" si="62"/>
        <v>L</v>
      </c>
      <c r="H221" s="1" t="s">
        <v>1</v>
      </c>
      <c r="I221" s="4">
        <v>320</v>
      </c>
      <c r="J221" s="1" t="s">
        <v>153</v>
      </c>
      <c r="K221" s="7">
        <f t="shared" si="63"/>
        <v>280</v>
      </c>
      <c r="L221" s="1" t="s">
        <v>1</v>
      </c>
      <c r="M221" s="1">
        <v>297</v>
      </c>
      <c r="N221" s="1" t="s">
        <v>153</v>
      </c>
      <c r="O221" s="7">
        <f t="shared" si="64"/>
        <v>137</v>
      </c>
      <c r="P221" s="1" t="s">
        <v>449</v>
      </c>
      <c r="Q221" s="13" t="s">
        <v>346</v>
      </c>
    </row>
    <row r="222" spans="2:17">
      <c r="B222" s="1" t="s">
        <v>0</v>
      </c>
      <c r="C222" s="3" t="s">
        <v>284</v>
      </c>
      <c r="D222" s="1" t="s">
        <v>1</v>
      </c>
      <c r="E222" s="4">
        <v>2</v>
      </c>
      <c r="F222" s="1" t="s">
        <v>153</v>
      </c>
      <c r="G222" s="9" t="str">
        <f t="shared" ref="G222:G223" si="65">IF(E222="","",IF(E222=1,"L",IF(E222=2,"R","?")))</f>
        <v>R</v>
      </c>
      <c r="H222" s="1" t="s">
        <v>1</v>
      </c>
      <c r="I222" s="4">
        <v>428</v>
      </c>
      <c r="J222" s="1" t="s">
        <v>153</v>
      </c>
      <c r="K222" s="7">
        <f t="shared" ref="K222:K223" si="66">IF(ISBLANK(I222),"",ROUND((700*I222)/800,0))</f>
        <v>375</v>
      </c>
      <c r="L222" s="1" t="s">
        <v>1</v>
      </c>
      <c r="M222" s="1">
        <v>297</v>
      </c>
      <c r="N222" s="1" t="s">
        <v>153</v>
      </c>
      <c r="O222" s="7">
        <f t="shared" ref="O222:O223" si="67">IF(ISBLANK(M222),"",ROUND((525*(600-M222-147))/600,0))</f>
        <v>137</v>
      </c>
      <c r="P222" s="1" t="s">
        <v>449</v>
      </c>
      <c r="Q222" s="2" t="s">
        <v>290</v>
      </c>
    </row>
    <row r="223" spans="2:17">
      <c r="B223" s="1" t="s">
        <v>0</v>
      </c>
      <c r="C223" s="3" t="s">
        <v>285</v>
      </c>
      <c r="D223" s="1" t="s">
        <v>1</v>
      </c>
      <c r="E223" s="4">
        <v>1</v>
      </c>
      <c r="F223" s="1" t="s">
        <v>153</v>
      </c>
      <c r="G223" s="9" t="str">
        <f t="shared" si="65"/>
        <v>L</v>
      </c>
      <c r="H223" s="1" t="s">
        <v>1</v>
      </c>
      <c r="I223" s="4">
        <v>236</v>
      </c>
      <c r="J223" s="1" t="s">
        <v>153</v>
      </c>
      <c r="K223" s="7">
        <f t="shared" si="66"/>
        <v>207</v>
      </c>
      <c r="L223" s="1" t="s">
        <v>1</v>
      </c>
      <c r="M223" s="1">
        <v>251</v>
      </c>
      <c r="N223" s="1" t="s">
        <v>153</v>
      </c>
      <c r="O223" s="7">
        <f t="shared" si="67"/>
        <v>177</v>
      </c>
      <c r="P223" s="1" t="s">
        <v>449</v>
      </c>
      <c r="Q223" s="2" t="s">
        <v>291</v>
      </c>
    </row>
    <row r="224" spans="2:17">
      <c r="B224" s="1" t="s">
        <v>0</v>
      </c>
      <c r="C224" s="3" t="s">
        <v>286</v>
      </c>
      <c r="D224" s="1" t="s">
        <v>1</v>
      </c>
      <c r="E224" s="4">
        <v>2</v>
      </c>
      <c r="F224" s="1" t="s">
        <v>153</v>
      </c>
      <c r="G224" s="9" t="str">
        <f t="shared" si="62"/>
        <v>R</v>
      </c>
      <c r="H224" s="1" t="s">
        <v>1</v>
      </c>
      <c r="I224" s="4">
        <v>533</v>
      </c>
      <c r="J224" s="1" t="s">
        <v>153</v>
      </c>
      <c r="K224" s="7">
        <f t="shared" si="63"/>
        <v>466</v>
      </c>
      <c r="L224" s="1" t="s">
        <v>1</v>
      </c>
      <c r="M224" s="1">
        <v>314</v>
      </c>
      <c r="N224" s="1" t="s">
        <v>153</v>
      </c>
      <c r="O224" s="7">
        <f t="shared" si="64"/>
        <v>122</v>
      </c>
      <c r="P224" s="1" t="s">
        <v>449</v>
      </c>
      <c r="Q224" s="2" t="s">
        <v>292</v>
      </c>
    </row>
    <row r="225" spans="2:17">
      <c r="B225" s="1" t="s">
        <v>0</v>
      </c>
      <c r="C225" s="3" t="s">
        <v>287</v>
      </c>
      <c r="D225" s="1" t="s">
        <v>1</v>
      </c>
      <c r="E225" s="4">
        <v>2</v>
      </c>
      <c r="F225" s="1" t="s">
        <v>153</v>
      </c>
      <c r="G225" s="9" t="str">
        <f t="shared" si="62"/>
        <v>R</v>
      </c>
      <c r="H225" s="1" t="s">
        <v>1</v>
      </c>
      <c r="I225" s="4">
        <v>419</v>
      </c>
      <c r="J225" s="1" t="s">
        <v>153</v>
      </c>
      <c r="K225" s="7">
        <f t="shared" si="63"/>
        <v>367</v>
      </c>
      <c r="L225" s="1" t="s">
        <v>1</v>
      </c>
      <c r="M225" s="1">
        <v>293</v>
      </c>
      <c r="N225" s="1" t="s">
        <v>153</v>
      </c>
      <c r="O225" s="7">
        <f t="shared" si="64"/>
        <v>140</v>
      </c>
      <c r="P225" s="1" t="s">
        <v>449</v>
      </c>
      <c r="Q225" s="2" t="s">
        <v>293</v>
      </c>
    </row>
    <row r="226" spans="2:17">
      <c r="B226" s="1" t="s">
        <v>0</v>
      </c>
      <c r="C226" s="3" t="s">
        <v>288</v>
      </c>
      <c r="D226" s="1" t="s">
        <v>1</v>
      </c>
      <c r="E226" s="4">
        <v>2</v>
      </c>
      <c r="F226" s="1" t="s">
        <v>153</v>
      </c>
      <c r="G226" s="9" t="str">
        <f t="shared" si="62"/>
        <v>R</v>
      </c>
      <c r="H226" s="1" t="s">
        <v>1</v>
      </c>
      <c r="I226" s="4">
        <v>318</v>
      </c>
      <c r="J226" s="1" t="s">
        <v>153</v>
      </c>
      <c r="K226" s="7">
        <f t="shared" si="63"/>
        <v>278</v>
      </c>
      <c r="L226" s="1" t="s">
        <v>1</v>
      </c>
      <c r="M226" s="1">
        <v>294</v>
      </c>
      <c r="N226" s="1" t="s">
        <v>153</v>
      </c>
      <c r="O226" s="7">
        <f t="shared" si="64"/>
        <v>139</v>
      </c>
      <c r="P226" s="1" t="s">
        <v>449</v>
      </c>
      <c r="Q226" s="2" t="s">
        <v>294</v>
      </c>
    </row>
    <row r="227" spans="2:17">
      <c r="B227" s="1" t="s">
        <v>0</v>
      </c>
      <c r="C227" s="3" t="s">
        <v>289</v>
      </c>
      <c r="D227" s="1" t="s">
        <v>1</v>
      </c>
      <c r="E227" s="4">
        <v>2</v>
      </c>
      <c r="F227" s="1" t="s">
        <v>153</v>
      </c>
      <c r="G227" s="9" t="str">
        <f t="shared" si="62"/>
        <v>R</v>
      </c>
      <c r="H227" s="1" t="s">
        <v>1</v>
      </c>
      <c r="I227" s="4">
        <v>400</v>
      </c>
      <c r="J227" s="1" t="s">
        <v>153</v>
      </c>
      <c r="K227" s="7">
        <f t="shared" si="63"/>
        <v>350</v>
      </c>
      <c r="L227" s="1" t="s">
        <v>1</v>
      </c>
      <c r="M227" s="1">
        <v>328</v>
      </c>
      <c r="N227" s="1" t="s">
        <v>153</v>
      </c>
      <c r="O227" s="7">
        <f t="shared" si="64"/>
        <v>109</v>
      </c>
      <c r="P227" s="1" t="s">
        <v>449</v>
      </c>
      <c r="Q227" s="2" t="s">
        <v>295</v>
      </c>
    </row>
    <row r="228" spans="2:17">
      <c r="B228" s="1" t="s">
        <v>0</v>
      </c>
      <c r="C228" s="3" t="s">
        <v>296</v>
      </c>
      <c r="D228" s="1" t="s">
        <v>1</v>
      </c>
      <c r="E228" s="4">
        <v>1</v>
      </c>
      <c r="F228" s="1" t="s">
        <v>153</v>
      </c>
      <c r="G228" s="9" t="str">
        <f t="shared" ref="G228:G233" si="68">IF(E228="","",IF(E228=1,"L",IF(E228=2,"R","?")))</f>
        <v>L</v>
      </c>
      <c r="H228" s="1" t="s">
        <v>1</v>
      </c>
      <c r="I228" s="4">
        <v>52</v>
      </c>
      <c r="J228" s="1" t="s">
        <v>153</v>
      </c>
      <c r="K228" s="7">
        <f t="shared" ref="K228:K233" si="69">IF(ISBLANK(I228),"",ROUND((700*I228)/800,0))</f>
        <v>46</v>
      </c>
      <c r="L228" s="1" t="s">
        <v>1</v>
      </c>
      <c r="M228" s="1">
        <v>281</v>
      </c>
      <c r="N228" s="1" t="s">
        <v>153</v>
      </c>
      <c r="O228" s="7">
        <f t="shared" ref="O228:O233" si="70">IF(ISBLANK(M228),"",ROUND((525*(600-M228-147))/600,0))</f>
        <v>151</v>
      </c>
      <c r="P228" s="1" t="s">
        <v>449</v>
      </c>
      <c r="Q228" s="2" t="s">
        <v>302</v>
      </c>
    </row>
    <row r="229" spans="2:17">
      <c r="B229" s="1" t="s">
        <v>0</v>
      </c>
      <c r="C229" s="3" t="s">
        <v>297</v>
      </c>
      <c r="D229" s="1" t="s">
        <v>1</v>
      </c>
      <c r="E229" s="4">
        <v>2</v>
      </c>
      <c r="F229" s="1" t="s">
        <v>153</v>
      </c>
      <c r="G229" s="9" t="str">
        <f t="shared" si="68"/>
        <v>R</v>
      </c>
      <c r="H229" s="1" t="s">
        <v>1</v>
      </c>
      <c r="I229" s="4">
        <v>470</v>
      </c>
      <c r="J229" s="1" t="s">
        <v>153</v>
      </c>
      <c r="K229" s="7">
        <f t="shared" si="69"/>
        <v>411</v>
      </c>
      <c r="L229" s="1" t="s">
        <v>1</v>
      </c>
      <c r="M229" s="1">
        <v>210</v>
      </c>
      <c r="N229" s="1" t="s">
        <v>153</v>
      </c>
      <c r="O229" s="7">
        <f t="shared" si="70"/>
        <v>213</v>
      </c>
      <c r="P229" s="1" t="s">
        <v>449</v>
      </c>
      <c r="Q229" s="2" t="s">
        <v>303</v>
      </c>
    </row>
    <row r="230" spans="2:17">
      <c r="B230" s="1" t="s">
        <v>0</v>
      </c>
      <c r="C230" s="3" t="s">
        <v>298</v>
      </c>
      <c r="D230" s="1" t="s">
        <v>1</v>
      </c>
      <c r="E230" s="4">
        <v>1</v>
      </c>
      <c r="F230" s="1" t="s">
        <v>153</v>
      </c>
      <c r="G230" s="9" t="str">
        <f t="shared" si="68"/>
        <v>L</v>
      </c>
      <c r="H230" s="1" t="s">
        <v>1</v>
      </c>
      <c r="I230" s="4">
        <v>170</v>
      </c>
      <c r="J230" s="1" t="s">
        <v>153</v>
      </c>
      <c r="K230" s="7">
        <f t="shared" si="69"/>
        <v>149</v>
      </c>
      <c r="L230" s="1" t="s">
        <v>1</v>
      </c>
      <c r="M230" s="1">
        <v>320</v>
      </c>
      <c r="N230" s="1" t="s">
        <v>153</v>
      </c>
      <c r="O230" s="7">
        <f t="shared" si="70"/>
        <v>116</v>
      </c>
      <c r="P230" s="1" t="s">
        <v>449</v>
      </c>
      <c r="Q230" s="2" t="s">
        <v>304</v>
      </c>
    </row>
    <row r="231" spans="2:17">
      <c r="B231" s="1" t="s">
        <v>0</v>
      </c>
      <c r="C231" s="3" t="s">
        <v>299</v>
      </c>
      <c r="D231" s="1" t="s">
        <v>1</v>
      </c>
      <c r="E231" s="4">
        <v>2</v>
      </c>
      <c r="F231" s="1" t="s">
        <v>153</v>
      </c>
      <c r="G231" s="9" t="str">
        <f t="shared" si="68"/>
        <v>R</v>
      </c>
      <c r="H231" s="1" t="s">
        <v>1</v>
      </c>
      <c r="I231" s="4">
        <v>481</v>
      </c>
      <c r="J231" s="1" t="s">
        <v>153</v>
      </c>
      <c r="K231" s="7">
        <f t="shared" si="69"/>
        <v>421</v>
      </c>
      <c r="L231" s="1" t="s">
        <v>1</v>
      </c>
      <c r="M231" s="1">
        <v>158</v>
      </c>
      <c r="N231" s="1" t="s">
        <v>153</v>
      </c>
      <c r="O231" s="7">
        <f t="shared" si="70"/>
        <v>258</v>
      </c>
      <c r="P231" s="1" t="s">
        <v>449</v>
      </c>
      <c r="Q231" s="2" t="s">
        <v>305</v>
      </c>
    </row>
    <row r="232" spans="2:17">
      <c r="B232" s="1" t="s">
        <v>0</v>
      </c>
      <c r="C232" s="3" t="s">
        <v>300</v>
      </c>
      <c r="D232" s="1" t="s">
        <v>1</v>
      </c>
      <c r="E232" s="4">
        <v>1</v>
      </c>
      <c r="F232" s="1" t="s">
        <v>153</v>
      </c>
      <c r="G232" s="9" t="str">
        <f t="shared" si="68"/>
        <v>L</v>
      </c>
      <c r="H232" s="1" t="s">
        <v>1</v>
      </c>
      <c r="I232" s="4">
        <v>170</v>
      </c>
      <c r="J232" s="1" t="s">
        <v>153</v>
      </c>
      <c r="K232" s="7">
        <f t="shared" si="69"/>
        <v>149</v>
      </c>
      <c r="L232" s="1" t="s">
        <v>1</v>
      </c>
      <c r="M232" s="1">
        <v>320</v>
      </c>
      <c r="N232" s="1" t="s">
        <v>153</v>
      </c>
      <c r="O232" s="7">
        <f t="shared" si="70"/>
        <v>116</v>
      </c>
      <c r="P232" s="1" t="s">
        <v>449</v>
      </c>
      <c r="Q232" s="2" t="s">
        <v>306</v>
      </c>
    </row>
    <row r="233" spans="2:17">
      <c r="B233" s="1" t="s">
        <v>0</v>
      </c>
      <c r="C233" s="3" t="s">
        <v>301</v>
      </c>
      <c r="D233" s="1" t="s">
        <v>1</v>
      </c>
      <c r="E233" s="4">
        <v>1</v>
      </c>
      <c r="F233" s="1" t="s">
        <v>153</v>
      </c>
      <c r="G233" s="9" t="str">
        <f t="shared" si="68"/>
        <v>L</v>
      </c>
      <c r="H233" s="1" t="s">
        <v>1</v>
      </c>
      <c r="I233" s="4">
        <v>216</v>
      </c>
      <c r="J233" s="1" t="s">
        <v>153</v>
      </c>
      <c r="K233" s="7">
        <f t="shared" si="69"/>
        <v>189</v>
      </c>
      <c r="L233" s="1" t="s">
        <v>1</v>
      </c>
      <c r="M233" s="1">
        <v>228</v>
      </c>
      <c r="N233" s="1" t="s">
        <v>153</v>
      </c>
      <c r="O233" s="7">
        <f t="shared" si="70"/>
        <v>197</v>
      </c>
      <c r="P233" s="1" t="s">
        <v>449</v>
      </c>
      <c r="Q233" s="2" t="s">
        <v>307</v>
      </c>
    </row>
    <row r="234" spans="2:17">
      <c r="B234" s="1" t="s">
        <v>0</v>
      </c>
      <c r="C234" s="3" t="s">
        <v>310</v>
      </c>
      <c r="D234" s="1" t="s">
        <v>1</v>
      </c>
      <c r="E234" s="4">
        <v>1</v>
      </c>
      <c r="F234" s="1" t="s">
        <v>153</v>
      </c>
      <c r="G234" s="9" t="str">
        <f t="shared" ref="G234:G245" si="71">IF(E234="","",IF(E234=1,"L",IF(E234=2,"R","?")))</f>
        <v>L</v>
      </c>
      <c r="H234" s="1" t="s">
        <v>1</v>
      </c>
      <c r="I234" s="4">
        <v>461</v>
      </c>
      <c r="J234" s="1" t="s">
        <v>153</v>
      </c>
      <c r="K234" s="7">
        <f t="shared" ref="K234:K245" si="72">IF(ISBLANK(I234),"",ROUND((700*I234)/800,0))</f>
        <v>403</v>
      </c>
      <c r="L234" s="1" t="s">
        <v>1</v>
      </c>
      <c r="M234" s="1">
        <v>216</v>
      </c>
      <c r="N234" s="1" t="s">
        <v>153</v>
      </c>
      <c r="O234" s="7">
        <f t="shared" ref="O234:O245" si="73">IF(ISBLANK(M234),"",ROUND((525*(600-M234-147))/600,0))</f>
        <v>207</v>
      </c>
      <c r="P234" s="1" t="s">
        <v>449</v>
      </c>
      <c r="Q234" s="2" t="s">
        <v>323</v>
      </c>
    </row>
    <row r="235" spans="2:17">
      <c r="B235" s="1" t="s">
        <v>0</v>
      </c>
      <c r="C235" s="3" t="s">
        <v>311</v>
      </c>
      <c r="D235" s="1" t="s">
        <v>1</v>
      </c>
      <c r="E235" s="4">
        <v>1</v>
      </c>
      <c r="F235" s="1" t="s">
        <v>153</v>
      </c>
      <c r="G235" s="9" t="str">
        <f t="shared" si="71"/>
        <v>L</v>
      </c>
      <c r="H235" s="1" t="s">
        <v>1</v>
      </c>
      <c r="I235" s="4">
        <v>461</v>
      </c>
      <c r="J235" s="1" t="s">
        <v>153</v>
      </c>
      <c r="K235" s="7">
        <f t="shared" si="72"/>
        <v>403</v>
      </c>
      <c r="L235" s="1" t="s">
        <v>1</v>
      </c>
      <c r="M235" s="1">
        <v>216</v>
      </c>
      <c r="N235" s="1" t="s">
        <v>153</v>
      </c>
      <c r="O235" s="7">
        <f t="shared" si="73"/>
        <v>207</v>
      </c>
      <c r="P235" s="1" t="s">
        <v>449</v>
      </c>
      <c r="Q235" s="2" t="s">
        <v>324</v>
      </c>
    </row>
    <row r="236" spans="2:17">
      <c r="B236" s="1" t="s">
        <v>0</v>
      </c>
      <c r="C236" s="3" t="s">
        <v>312</v>
      </c>
      <c r="D236" s="1" t="s">
        <v>1</v>
      </c>
      <c r="E236" s="4">
        <v>1</v>
      </c>
      <c r="F236" s="1" t="s">
        <v>153</v>
      </c>
      <c r="G236" s="9" t="str">
        <f t="shared" si="71"/>
        <v>L</v>
      </c>
      <c r="H236" s="1" t="s">
        <v>1</v>
      </c>
      <c r="I236" s="4">
        <v>192</v>
      </c>
      <c r="J236" s="1" t="s">
        <v>153</v>
      </c>
      <c r="K236" s="7">
        <f t="shared" si="72"/>
        <v>168</v>
      </c>
      <c r="L236" s="1" t="s">
        <v>1</v>
      </c>
      <c r="M236" s="1">
        <v>219</v>
      </c>
      <c r="N236" s="1" t="s">
        <v>153</v>
      </c>
      <c r="O236" s="7">
        <f t="shared" si="73"/>
        <v>205</v>
      </c>
      <c r="P236" s="1" t="s">
        <v>449</v>
      </c>
      <c r="Q236" s="2" t="s">
        <v>325</v>
      </c>
    </row>
    <row r="237" spans="2:17">
      <c r="B237" s="1" t="s">
        <v>0</v>
      </c>
      <c r="C237" s="3" t="s">
        <v>313</v>
      </c>
      <c r="D237" s="1" t="s">
        <v>1</v>
      </c>
      <c r="E237" s="4">
        <v>1</v>
      </c>
      <c r="F237" s="1" t="s">
        <v>153</v>
      </c>
      <c r="G237" s="9" t="str">
        <f t="shared" si="71"/>
        <v>L</v>
      </c>
      <c r="H237" s="1" t="s">
        <v>1</v>
      </c>
      <c r="I237" s="4">
        <v>130</v>
      </c>
      <c r="J237" s="1" t="s">
        <v>153</v>
      </c>
      <c r="K237" s="7">
        <f t="shared" si="72"/>
        <v>114</v>
      </c>
      <c r="L237" s="1" t="s">
        <v>1</v>
      </c>
      <c r="M237" s="1">
        <v>136</v>
      </c>
      <c r="N237" s="1" t="s">
        <v>153</v>
      </c>
      <c r="O237" s="7">
        <f t="shared" si="73"/>
        <v>277</v>
      </c>
      <c r="P237" s="1" t="s">
        <v>449</v>
      </c>
      <c r="Q237" s="2" t="s">
        <v>326</v>
      </c>
    </row>
    <row r="238" spans="2:17">
      <c r="B238" s="1" t="s">
        <v>0</v>
      </c>
      <c r="C238" s="3" t="s">
        <v>314</v>
      </c>
      <c r="D238" s="1" t="s">
        <v>1</v>
      </c>
      <c r="E238" s="4">
        <v>1</v>
      </c>
      <c r="F238" s="1" t="s">
        <v>153</v>
      </c>
      <c r="G238" s="9" t="str">
        <f t="shared" si="71"/>
        <v>L</v>
      </c>
      <c r="H238" s="1" t="s">
        <v>1</v>
      </c>
      <c r="I238" s="4">
        <v>151</v>
      </c>
      <c r="J238" s="1" t="s">
        <v>153</v>
      </c>
      <c r="K238" s="7">
        <f t="shared" si="72"/>
        <v>132</v>
      </c>
      <c r="L238" s="1" t="s">
        <v>1</v>
      </c>
      <c r="M238" s="1">
        <v>255</v>
      </c>
      <c r="N238" s="1" t="s">
        <v>153</v>
      </c>
      <c r="O238" s="7">
        <f t="shared" si="73"/>
        <v>173</v>
      </c>
      <c r="P238" s="1" t="s">
        <v>449</v>
      </c>
      <c r="Q238" s="2" t="s">
        <v>327</v>
      </c>
    </row>
    <row r="239" spans="2:17">
      <c r="B239" s="1" t="s">
        <v>0</v>
      </c>
      <c r="C239" s="3" t="s">
        <v>315</v>
      </c>
      <c r="D239" s="1" t="s">
        <v>1</v>
      </c>
      <c r="E239" s="4">
        <v>1</v>
      </c>
      <c r="F239" s="1" t="s">
        <v>153</v>
      </c>
      <c r="G239" s="9" t="str">
        <f t="shared" si="71"/>
        <v>L</v>
      </c>
      <c r="H239" s="1" t="s">
        <v>1</v>
      </c>
      <c r="I239" s="4">
        <v>206</v>
      </c>
      <c r="J239" s="1" t="s">
        <v>153</v>
      </c>
      <c r="K239" s="7">
        <f t="shared" si="72"/>
        <v>180</v>
      </c>
      <c r="L239" s="1" t="s">
        <v>1</v>
      </c>
      <c r="M239" s="1">
        <v>229</v>
      </c>
      <c r="N239" s="1" t="s">
        <v>153</v>
      </c>
      <c r="O239" s="7">
        <f t="shared" si="73"/>
        <v>196</v>
      </c>
      <c r="P239" s="1" t="s">
        <v>449</v>
      </c>
      <c r="Q239" s="2" t="s">
        <v>317</v>
      </c>
    </row>
    <row r="240" spans="2:17">
      <c r="B240" s="1" t="s">
        <v>0</v>
      </c>
      <c r="C240" s="3" t="s">
        <v>316</v>
      </c>
      <c r="D240" s="1" t="s">
        <v>1</v>
      </c>
      <c r="E240" s="4">
        <v>1</v>
      </c>
      <c r="F240" s="1" t="s">
        <v>153</v>
      </c>
      <c r="G240" s="9" t="str">
        <f t="shared" si="71"/>
        <v>L</v>
      </c>
      <c r="H240" s="1" t="s">
        <v>1</v>
      </c>
      <c r="I240" s="4">
        <v>128</v>
      </c>
      <c r="J240" s="1" t="s">
        <v>153</v>
      </c>
      <c r="K240" s="7">
        <f t="shared" si="72"/>
        <v>112</v>
      </c>
      <c r="L240" s="1" t="s">
        <v>1</v>
      </c>
      <c r="M240" s="1">
        <v>177</v>
      </c>
      <c r="N240" s="1" t="s">
        <v>153</v>
      </c>
      <c r="O240" s="7">
        <f t="shared" si="73"/>
        <v>242</v>
      </c>
      <c r="P240" s="1" t="s">
        <v>449</v>
      </c>
      <c r="Q240" s="2" t="s">
        <v>318</v>
      </c>
    </row>
    <row r="241" spans="2:17">
      <c r="B241" s="1" t="s">
        <v>0</v>
      </c>
      <c r="C241" s="3" t="s">
        <v>328</v>
      </c>
      <c r="D241" s="1" t="s">
        <v>1</v>
      </c>
      <c r="E241" s="4">
        <v>1</v>
      </c>
      <c r="F241" s="1" t="s">
        <v>153</v>
      </c>
      <c r="G241" s="9" t="str">
        <f t="shared" ref="G241" si="74">IF(E241="","",IF(E241=1,"L",IF(E241=2,"R","?")))</f>
        <v>L</v>
      </c>
      <c r="H241" s="1" t="s">
        <v>1</v>
      </c>
      <c r="I241" s="4">
        <v>206</v>
      </c>
      <c r="J241" s="1" t="s">
        <v>153</v>
      </c>
      <c r="K241" s="7">
        <f t="shared" ref="K241" si="75">IF(ISBLANK(I241),"",ROUND((700*I241)/800,0))</f>
        <v>180</v>
      </c>
      <c r="L241" s="1" t="s">
        <v>1</v>
      </c>
      <c r="M241" s="1">
        <v>229</v>
      </c>
      <c r="N241" s="1" t="s">
        <v>153</v>
      </c>
      <c r="O241" s="7">
        <f t="shared" ref="O241" si="76">IF(ISBLANK(M241),"",ROUND((525*(600-M241-147))/600,0))</f>
        <v>196</v>
      </c>
      <c r="P241" s="1" t="s">
        <v>449</v>
      </c>
      <c r="Q241" s="2" t="s">
        <v>333</v>
      </c>
    </row>
    <row r="242" spans="2:17">
      <c r="B242" s="1" t="s">
        <v>0</v>
      </c>
      <c r="C242" s="3" t="s">
        <v>329</v>
      </c>
      <c r="D242" s="1" t="s">
        <v>1</v>
      </c>
      <c r="E242" s="4">
        <v>1</v>
      </c>
      <c r="F242" s="1" t="s">
        <v>153</v>
      </c>
      <c r="G242" s="9" t="str">
        <f t="shared" si="71"/>
        <v>L</v>
      </c>
      <c r="H242" s="1" t="s">
        <v>1</v>
      </c>
      <c r="I242" s="4">
        <v>202</v>
      </c>
      <c r="J242" s="1" t="s">
        <v>153</v>
      </c>
      <c r="K242" s="7">
        <f t="shared" si="72"/>
        <v>177</v>
      </c>
      <c r="L242" s="1" t="s">
        <v>1</v>
      </c>
      <c r="M242" s="1">
        <v>347</v>
      </c>
      <c r="N242" s="1" t="s">
        <v>153</v>
      </c>
      <c r="O242" s="7">
        <f t="shared" si="73"/>
        <v>93</v>
      </c>
      <c r="P242" s="1" t="s">
        <v>449</v>
      </c>
      <c r="Q242" s="2" t="s">
        <v>319</v>
      </c>
    </row>
    <row r="243" spans="2:17">
      <c r="B243" s="1" t="s">
        <v>0</v>
      </c>
      <c r="C243" s="3" t="s">
        <v>330</v>
      </c>
      <c r="D243" s="1" t="s">
        <v>1</v>
      </c>
      <c r="E243" s="4">
        <v>1</v>
      </c>
      <c r="F243" s="1" t="s">
        <v>153</v>
      </c>
      <c r="G243" s="9" t="str">
        <f t="shared" si="71"/>
        <v>L</v>
      </c>
      <c r="H243" s="1" t="s">
        <v>1</v>
      </c>
      <c r="I243" s="4">
        <v>202</v>
      </c>
      <c r="J243" s="1" t="s">
        <v>153</v>
      </c>
      <c r="K243" s="7">
        <f t="shared" si="72"/>
        <v>177</v>
      </c>
      <c r="L243" s="1" t="s">
        <v>1</v>
      </c>
      <c r="M243" s="1">
        <v>347</v>
      </c>
      <c r="N243" s="1" t="s">
        <v>153</v>
      </c>
      <c r="O243" s="7">
        <f t="shared" si="73"/>
        <v>93</v>
      </c>
      <c r="P243" s="1" t="s">
        <v>449</v>
      </c>
      <c r="Q243" s="2" t="s">
        <v>320</v>
      </c>
    </row>
    <row r="244" spans="2:17">
      <c r="B244" s="1" t="s">
        <v>0</v>
      </c>
      <c r="C244" s="3" t="s">
        <v>331</v>
      </c>
      <c r="D244" s="1" t="s">
        <v>1</v>
      </c>
      <c r="E244" s="4">
        <v>1</v>
      </c>
      <c r="F244" s="1" t="s">
        <v>153</v>
      </c>
      <c r="G244" s="9" t="str">
        <f t="shared" si="71"/>
        <v>L</v>
      </c>
      <c r="H244" s="1" t="s">
        <v>1</v>
      </c>
      <c r="I244" s="4">
        <v>202</v>
      </c>
      <c r="J244" s="1" t="s">
        <v>153</v>
      </c>
      <c r="K244" s="7">
        <f t="shared" si="72"/>
        <v>177</v>
      </c>
      <c r="L244" s="1" t="s">
        <v>1</v>
      </c>
      <c r="M244" s="1">
        <v>347</v>
      </c>
      <c r="N244" s="1" t="s">
        <v>153</v>
      </c>
      <c r="O244" s="7">
        <f t="shared" si="73"/>
        <v>93</v>
      </c>
      <c r="P244" s="1" t="s">
        <v>449</v>
      </c>
      <c r="Q244" s="2" t="s">
        <v>321</v>
      </c>
    </row>
    <row r="245" spans="2:17">
      <c r="B245" s="1" t="s">
        <v>0</v>
      </c>
      <c r="C245" s="3" t="s">
        <v>332</v>
      </c>
      <c r="D245" s="1" t="s">
        <v>1</v>
      </c>
      <c r="E245" s="4">
        <v>1</v>
      </c>
      <c r="F245" s="1" t="s">
        <v>153</v>
      </c>
      <c r="G245" s="9" t="str">
        <f t="shared" si="71"/>
        <v>L</v>
      </c>
      <c r="H245" s="1" t="s">
        <v>1</v>
      </c>
      <c r="I245" s="4">
        <v>202</v>
      </c>
      <c r="J245" s="1" t="s">
        <v>153</v>
      </c>
      <c r="K245" s="7">
        <f t="shared" si="72"/>
        <v>177</v>
      </c>
      <c r="L245" s="1" t="s">
        <v>1</v>
      </c>
      <c r="M245" s="1">
        <v>347</v>
      </c>
      <c r="N245" s="1" t="s">
        <v>153</v>
      </c>
      <c r="O245" s="7">
        <f t="shared" si="73"/>
        <v>93</v>
      </c>
      <c r="P245" s="1" t="s">
        <v>449</v>
      </c>
      <c r="Q245" s="2" t="s">
        <v>322</v>
      </c>
    </row>
    <row r="246" spans="2:17">
      <c r="B246" s="1" t="s">
        <v>0</v>
      </c>
      <c r="C246" s="3" t="s">
        <v>334</v>
      </c>
      <c r="D246" s="1" t="s">
        <v>1</v>
      </c>
      <c r="E246" s="4">
        <v>1</v>
      </c>
      <c r="F246" s="1" t="s">
        <v>153</v>
      </c>
      <c r="G246" s="9" t="str">
        <f t="shared" ref="G246" si="77">IF(E246="","",IF(E246=1,"L",IF(E246=2,"R","?")))</f>
        <v>L</v>
      </c>
      <c r="H246" s="1" t="s">
        <v>1</v>
      </c>
      <c r="I246" s="4">
        <v>290</v>
      </c>
      <c r="J246" s="1" t="s">
        <v>153</v>
      </c>
      <c r="K246" s="7">
        <f t="shared" ref="K246" si="78">IF(ISBLANK(I246),"",ROUND((700*I246)/800,0))</f>
        <v>254</v>
      </c>
      <c r="L246" s="1" t="s">
        <v>1</v>
      </c>
      <c r="M246" s="1">
        <v>356</v>
      </c>
      <c r="N246" s="1" t="s">
        <v>153</v>
      </c>
      <c r="O246" s="7">
        <f t="shared" ref="O246" si="79">IF(ISBLANK(M246),"",ROUND((525*(600-M246-147))/600,0))</f>
        <v>85</v>
      </c>
      <c r="P246" s="1" t="s">
        <v>449</v>
      </c>
      <c r="Q246" s="2" t="s">
        <v>350</v>
      </c>
    </row>
    <row r="247" spans="2:17">
      <c r="B247" s="1" t="s">
        <v>0</v>
      </c>
      <c r="C247" s="3" t="s">
        <v>335</v>
      </c>
      <c r="D247" s="1" t="s">
        <v>1</v>
      </c>
      <c r="E247" s="4">
        <v>2</v>
      </c>
      <c r="F247" s="1" t="s">
        <v>153</v>
      </c>
      <c r="G247" s="9" t="str">
        <f t="shared" ref="G247:G252" si="80">IF(E247="","",IF(E247=1,"L",IF(E247=2,"R","?")))</f>
        <v>R</v>
      </c>
      <c r="H247" s="1" t="s">
        <v>1</v>
      </c>
      <c r="I247" s="4">
        <v>530</v>
      </c>
      <c r="J247" s="1" t="s">
        <v>153</v>
      </c>
      <c r="K247" s="7">
        <f t="shared" ref="K247:K252" si="81">IF(ISBLANK(I247),"",ROUND((700*I247)/800,0))</f>
        <v>464</v>
      </c>
      <c r="L247" s="1" t="s">
        <v>1</v>
      </c>
      <c r="M247" s="1">
        <v>274</v>
      </c>
      <c r="N247" s="1" t="s">
        <v>153</v>
      </c>
      <c r="O247" s="7">
        <f t="shared" ref="O247:O252" si="82">IF(ISBLANK(M247),"",ROUND((525*(600-M247-147))/600,0))</f>
        <v>157</v>
      </c>
      <c r="P247" s="1" t="s">
        <v>449</v>
      </c>
      <c r="Q247" s="2" t="s">
        <v>351</v>
      </c>
    </row>
    <row r="248" spans="2:17">
      <c r="B248" s="1" t="s">
        <v>0</v>
      </c>
      <c r="C248" s="3" t="s">
        <v>336</v>
      </c>
      <c r="D248" s="1" t="s">
        <v>1</v>
      </c>
      <c r="E248" s="4">
        <v>2</v>
      </c>
      <c r="F248" s="1" t="s">
        <v>153</v>
      </c>
      <c r="G248" s="9" t="str">
        <f t="shared" si="80"/>
        <v>R</v>
      </c>
      <c r="H248" s="1" t="s">
        <v>1</v>
      </c>
      <c r="I248" s="4">
        <v>553</v>
      </c>
      <c r="J248" s="1" t="s">
        <v>153</v>
      </c>
      <c r="K248" s="7">
        <f t="shared" si="81"/>
        <v>484</v>
      </c>
      <c r="L248" s="1" t="s">
        <v>1</v>
      </c>
      <c r="M248" s="1">
        <v>248</v>
      </c>
      <c r="N248" s="1" t="s">
        <v>153</v>
      </c>
      <c r="O248" s="7">
        <f t="shared" si="82"/>
        <v>179</v>
      </c>
      <c r="P248" s="1" t="s">
        <v>449</v>
      </c>
      <c r="Q248" s="2" t="s">
        <v>353</v>
      </c>
    </row>
    <row r="249" spans="2:17">
      <c r="B249" s="1" t="s">
        <v>0</v>
      </c>
      <c r="C249" s="3" t="s">
        <v>337</v>
      </c>
      <c r="D249" s="1" t="s">
        <v>1</v>
      </c>
      <c r="E249" s="4">
        <v>1</v>
      </c>
      <c r="F249" s="1" t="s">
        <v>153</v>
      </c>
      <c r="G249" s="9" t="str">
        <f t="shared" si="80"/>
        <v>L</v>
      </c>
      <c r="H249" s="1" t="s">
        <v>1</v>
      </c>
      <c r="I249" s="4">
        <v>156</v>
      </c>
      <c r="J249" s="1" t="s">
        <v>153</v>
      </c>
      <c r="K249" s="7">
        <f t="shared" si="81"/>
        <v>137</v>
      </c>
      <c r="L249" s="1" t="s">
        <v>1</v>
      </c>
      <c r="M249" s="1">
        <v>320</v>
      </c>
      <c r="N249" s="1" t="s">
        <v>153</v>
      </c>
      <c r="O249" s="7">
        <f t="shared" si="82"/>
        <v>116</v>
      </c>
      <c r="P249" s="1" t="s">
        <v>449</v>
      </c>
      <c r="Q249" s="2" t="s">
        <v>356</v>
      </c>
    </row>
    <row r="250" spans="2:17">
      <c r="B250" s="1" t="s">
        <v>0</v>
      </c>
      <c r="C250" s="3" t="s">
        <v>338</v>
      </c>
      <c r="D250" s="1" t="s">
        <v>1</v>
      </c>
      <c r="E250" s="4">
        <v>2</v>
      </c>
      <c r="F250" s="1" t="s">
        <v>153</v>
      </c>
      <c r="G250" s="9" t="str">
        <f t="shared" si="80"/>
        <v>R</v>
      </c>
      <c r="H250" s="1" t="s">
        <v>1</v>
      </c>
      <c r="I250" s="4">
        <v>530</v>
      </c>
      <c r="J250" s="1" t="s">
        <v>153</v>
      </c>
      <c r="K250" s="7">
        <f t="shared" si="81"/>
        <v>464</v>
      </c>
      <c r="L250" s="1" t="s">
        <v>1</v>
      </c>
      <c r="M250" s="1">
        <v>287</v>
      </c>
      <c r="N250" s="1" t="s">
        <v>153</v>
      </c>
      <c r="O250" s="7">
        <f t="shared" si="82"/>
        <v>145</v>
      </c>
      <c r="P250" s="1" t="s">
        <v>449</v>
      </c>
      <c r="Q250" s="2" t="s">
        <v>357</v>
      </c>
    </row>
    <row r="251" spans="2:17">
      <c r="B251" s="1" t="s">
        <v>0</v>
      </c>
      <c r="C251" s="3" t="s">
        <v>339</v>
      </c>
      <c r="D251" s="1" t="s">
        <v>1</v>
      </c>
      <c r="E251" s="4">
        <v>2</v>
      </c>
      <c r="F251" s="1" t="s">
        <v>153</v>
      </c>
      <c r="G251" s="9" t="str">
        <f t="shared" si="80"/>
        <v>R</v>
      </c>
      <c r="H251" s="1" t="s">
        <v>1</v>
      </c>
      <c r="I251" s="4">
        <v>553</v>
      </c>
      <c r="J251" s="1" t="s">
        <v>153</v>
      </c>
      <c r="K251" s="7">
        <f t="shared" si="81"/>
        <v>484</v>
      </c>
      <c r="L251" s="1" t="s">
        <v>1</v>
      </c>
      <c r="M251" s="1">
        <v>248</v>
      </c>
      <c r="N251" s="1" t="s">
        <v>153</v>
      </c>
      <c r="O251" s="7">
        <f t="shared" si="82"/>
        <v>179</v>
      </c>
      <c r="P251" s="1" t="s">
        <v>449</v>
      </c>
      <c r="Q251" s="2" t="s">
        <v>354</v>
      </c>
    </row>
    <row r="252" spans="2:17">
      <c r="B252" s="1" t="s">
        <v>0</v>
      </c>
      <c r="C252" s="3" t="s">
        <v>340</v>
      </c>
      <c r="D252" s="1" t="s">
        <v>1</v>
      </c>
      <c r="E252" s="4">
        <v>2</v>
      </c>
      <c r="F252" s="1" t="s">
        <v>153</v>
      </c>
      <c r="G252" s="9" t="str">
        <f t="shared" si="80"/>
        <v>R</v>
      </c>
      <c r="H252" s="1" t="s">
        <v>1</v>
      </c>
      <c r="I252" s="4">
        <v>553</v>
      </c>
      <c r="J252" s="1" t="s">
        <v>153</v>
      </c>
      <c r="K252" s="7">
        <f t="shared" si="81"/>
        <v>484</v>
      </c>
      <c r="L252" s="1" t="s">
        <v>1</v>
      </c>
      <c r="M252" s="1">
        <v>248</v>
      </c>
      <c r="N252" s="1" t="s">
        <v>153</v>
      </c>
      <c r="O252" s="7">
        <f t="shared" si="82"/>
        <v>179</v>
      </c>
      <c r="P252" s="1" t="s">
        <v>449</v>
      </c>
      <c r="Q252" s="2" t="s">
        <v>355</v>
      </c>
    </row>
    <row r="253" spans="2:17">
      <c r="B253" s="1" t="s">
        <v>0</v>
      </c>
      <c r="C253" s="3" t="s">
        <v>341</v>
      </c>
      <c r="D253" s="1" t="s">
        <v>1</v>
      </c>
      <c r="E253" s="4">
        <v>2</v>
      </c>
      <c r="F253" s="1" t="s">
        <v>153</v>
      </c>
      <c r="G253" s="9" t="str">
        <f t="shared" ref="G253" si="83">IF(E253="","",IF(E253=1,"L",IF(E253=2,"R","?")))</f>
        <v>R</v>
      </c>
      <c r="H253" s="1" t="s">
        <v>1</v>
      </c>
      <c r="I253" s="4">
        <v>369</v>
      </c>
      <c r="J253" s="1" t="s">
        <v>153</v>
      </c>
      <c r="K253" s="7">
        <f t="shared" ref="K253" si="84">IF(ISBLANK(I253),"",ROUND((700*I253)/800,0))</f>
        <v>323</v>
      </c>
      <c r="L253" s="1" t="s">
        <v>1</v>
      </c>
      <c r="M253" s="1">
        <v>301</v>
      </c>
      <c r="N253" s="1" t="s">
        <v>153</v>
      </c>
      <c r="O253" s="7">
        <f t="shared" ref="O253" si="85">IF(ISBLANK(M253),"",ROUND((525*(600-M253-147))/600,0))</f>
        <v>133</v>
      </c>
      <c r="P253" s="1" t="s">
        <v>449</v>
      </c>
      <c r="Q253" s="13" t="s">
        <v>347</v>
      </c>
    </row>
    <row r="254" spans="2:17">
      <c r="B254" s="1" t="s">
        <v>0</v>
      </c>
      <c r="C254" s="3" t="s">
        <v>342</v>
      </c>
      <c r="D254" s="1" t="s">
        <v>1</v>
      </c>
      <c r="E254" s="4">
        <v>2</v>
      </c>
      <c r="F254" s="1" t="s">
        <v>153</v>
      </c>
      <c r="G254" s="9" t="str">
        <f t="shared" ref="G254:G257" si="86">IF(E254="","",IF(E254=1,"L",IF(E254=2,"R","?")))</f>
        <v>R</v>
      </c>
      <c r="H254" s="1" t="s">
        <v>1</v>
      </c>
      <c r="I254" s="4">
        <v>333</v>
      </c>
      <c r="J254" s="1" t="s">
        <v>153</v>
      </c>
      <c r="K254" s="7">
        <f t="shared" ref="K254:K257" si="87">IF(ISBLANK(I254),"",ROUND((700*I254)/800,0))</f>
        <v>291</v>
      </c>
      <c r="L254" s="1" t="s">
        <v>1</v>
      </c>
      <c r="M254" s="1">
        <v>301</v>
      </c>
      <c r="N254" s="1" t="s">
        <v>153</v>
      </c>
      <c r="O254" s="7">
        <f t="shared" ref="O254:O257" si="88">IF(ISBLANK(M254),"",ROUND((525*(600-M254-147))/600,0))</f>
        <v>133</v>
      </c>
      <c r="P254" s="1" t="s">
        <v>449</v>
      </c>
      <c r="Q254" s="13" t="s">
        <v>348</v>
      </c>
    </row>
    <row r="255" spans="2:17">
      <c r="B255" s="1" t="s">
        <v>0</v>
      </c>
      <c r="C255" s="3" t="s">
        <v>343</v>
      </c>
      <c r="D255" s="1" t="s">
        <v>1</v>
      </c>
      <c r="E255" s="4">
        <v>1</v>
      </c>
      <c r="F255" s="1" t="s">
        <v>153</v>
      </c>
      <c r="G255" s="9" t="str">
        <f t="shared" si="86"/>
        <v>L</v>
      </c>
      <c r="H255" s="1" t="s">
        <v>1</v>
      </c>
      <c r="I255" s="4">
        <v>318</v>
      </c>
      <c r="J255" s="1" t="s">
        <v>153</v>
      </c>
      <c r="K255" s="7">
        <f t="shared" si="87"/>
        <v>278</v>
      </c>
      <c r="L255" s="1" t="s">
        <v>1</v>
      </c>
      <c r="M255" s="1">
        <v>301</v>
      </c>
      <c r="N255" s="1" t="s">
        <v>153</v>
      </c>
      <c r="O255" s="7">
        <f t="shared" si="88"/>
        <v>133</v>
      </c>
      <c r="P255" s="1" t="s">
        <v>449</v>
      </c>
      <c r="Q255" s="13" t="s">
        <v>349</v>
      </c>
    </row>
    <row r="256" spans="2:17">
      <c r="B256" s="1" t="s">
        <v>0</v>
      </c>
      <c r="C256" s="3" t="s">
        <v>614</v>
      </c>
      <c r="D256" s="1" t="s">
        <v>1</v>
      </c>
      <c r="F256" s="1" t="s">
        <v>153</v>
      </c>
      <c r="G256" s="9" t="str">
        <f t="shared" ref="G256" si="89">IF(E256="","",IF(E256=1,"L",IF(E256=2,"R","?")))</f>
        <v/>
      </c>
      <c r="H256" s="1" t="s">
        <v>1</v>
      </c>
      <c r="J256" s="1" t="s">
        <v>153</v>
      </c>
      <c r="K256" s="7" t="str">
        <f t="shared" ref="K256" si="90">IF(ISBLANK(I256),"",ROUND((700*I256)/800,0))</f>
        <v/>
      </c>
      <c r="L256" s="1" t="s">
        <v>1</v>
      </c>
      <c r="N256" s="1" t="s">
        <v>153</v>
      </c>
      <c r="O256" s="7" t="str">
        <f t="shared" ref="O256" si="91">IF(ISBLANK(M256),"",ROUND((525*(600-M256-147))/600,0))</f>
        <v/>
      </c>
      <c r="P256" s="1" t="s">
        <v>449</v>
      </c>
      <c r="Q256" s="13" t="s">
        <v>615</v>
      </c>
    </row>
    <row r="257" spans="2:17">
      <c r="B257" s="1" t="s">
        <v>0</v>
      </c>
      <c r="C257" s="3" t="s">
        <v>344</v>
      </c>
      <c r="D257" s="1" t="s">
        <v>1</v>
      </c>
      <c r="E257" s="4">
        <v>1</v>
      </c>
      <c r="F257" s="1" t="s">
        <v>153</v>
      </c>
      <c r="G257" s="9" t="str">
        <f t="shared" si="86"/>
        <v>L</v>
      </c>
      <c r="H257" s="1" t="s">
        <v>1</v>
      </c>
      <c r="I257" s="4">
        <v>202</v>
      </c>
      <c r="J257" s="1" t="s">
        <v>153</v>
      </c>
      <c r="K257" s="7">
        <f t="shared" si="87"/>
        <v>177</v>
      </c>
      <c r="L257" s="1" t="s">
        <v>1</v>
      </c>
      <c r="M257" s="1">
        <v>250</v>
      </c>
      <c r="N257" s="1" t="s">
        <v>153</v>
      </c>
      <c r="O257" s="7">
        <f t="shared" si="88"/>
        <v>178</v>
      </c>
      <c r="P257" s="1" t="s">
        <v>449</v>
      </c>
      <c r="Q257" s="2" t="s">
        <v>352</v>
      </c>
    </row>
    <row r="258" spans="2:17">
      <c r="B258" s="1" t="s">
        <v>0</v>
      </c>
      <c r="C258" s="3" t="s">
        <v>359</v>
      </c>
      <c r="D258" s="1" t="s">
        <v>1</v>
      </c>
      <c r="E258" s="4">
        <v>1</v>
      </c>
      <c r="F258" s="1" t="s">
        <v>153</v>
      </c>
      <c r="G258" s="9" t="str">
        <f t="shared" ref="G258:G264" si="92">IF(E258="","",IF(E258=1,"L",IF(E258=2,"R","?")))</f>
        <v>L</v>
      </c>
      <c r="H258" s="1" t="s">
        <v>1</v>
      </c>
      <c r="I258" s="4">
        <v>206</v>
      </c>
      <c r="J258" s="1" t="s">
        <v>153</v>
      </c>
      <c r="K258" s="7">
        <f t="shared" ref="K258:K264" si="93">IF(ISBLANK(I258),"",ROUND((700*I258)/800,0))</f>
        <v>180</v>
      </c>
      <c r="L258" s="1" t="s">
        <v>1</v>
      </c>
      <c r="M258" s="1">
        <v>270</v>
      </c>
      <c r="N258" s="1" t="s">
        <v>153</v>
      </c>
      <c r="O258" s="7">
        <f t="shared" ref="O258:O264" si="94">IF(ISBLANK(M258),"",ROUND((525*(600-M258-147))/600,0))</f>
        <v>160</v>
      </c>
      <c r="P258" s="1" t="s">
        <v>449</v>
      </c>
      <c r="Q258" s="2" t="s">
        <v>366</v>
      </c>
    </row>
    <row r="259" spans="2:17">
      <c r="B259" s="1" t="s">
        <v>0</v>
      </c>
      <c r="C259" s="3" t="s">
        <v>360</v>
      </c>
      <c r="D259" s="1" t="s">
        <v>1</v>
      </c>
      <c r="E259" s="4">
        <v>2</v>
      </c>
      <c r="F259" s="1" t="s">
        <v>153</v>
      </c>
      <c r="G259" s="9" t="str">
        <f t="shared" si="92"/>
        <v>R</v>
      </c>
      <c r="H259" s="1" t="s">
        <v>1</v>
      </c>
      <c r="I259" s="4">
        <v>347</v>
      </c>
      <c r="J259" s="1" t="s">
        <v>153</v>
      </c>
      <c r="K259" s="7">
        <f t="shared" si="93"/>
        <v>304</v>
      </c>
      <c r="L259" s="1" t="s">
        <v>1</v>
      </c>
      <c r="M259" s="1">
        <v>268</v>
      </c>
      <c r="N259" s="1" t="s">
        <v>153</v>
      </c>
      <c r="O259" s="7">
        <f t="shared" si="94"/>
        <v>162</v>
      </c>
      <c r="P259" s="1" t="s">
        <v>449</v>
      </c>
      <c r="Q259" s="2" t="s">
        <v>367</v>
      </c>
    </row>
    <row r="260" spans="2:17">
      <c r="B260" s="1" t="s">
        <v>0</v>
      </c>
      <c r="C260" s="3" t="s">
        <v>361</v>
      </c>
      <c r="D260" s="1" t="s">
        <v>1</v>
      </c>
      <c r="E260" s="4">
        <v>2</v>
      </c>
      <c r="F260" s="1" t="s">
        <v>153</v>
      </c>
      <c r="G260" s="9" t="str">
        <f t="shared" si="92"/>
        <v>R</v>
      </c>
      <c r="H260" s="1" t="s">
        <v>1</v>
      </c>
      <c r="I260" s="4">
        <v>383</v>
      </c>
      <c r="J260" s="1" t="s">
        <v>153</v>
      </c>
      <c r="K260" s="7">
        <f t="shared" si="93"/>
        <v>335</v>
      </c>
      <c r="L260" s="1" t="s">
        <v>1</v>
      </c>
      <c r="M260" s="1">
        <v>251</v>
      </c>
      <c r="N260" s="1" t="s">
        <v>153</v>
      </c>
      <c r="O260" s="7">
        <f t="shared" si="94"/>
        <v>177</v>
      </c>
      <c r="P260" s="1" t="s">
        <v>449</v>
      </c>
      <c r="Q260" s="2" t="s">
        <v>368</v>
      </c>
    </row>
    <row r="261" spans="2:17">
      <c r="B261" s="1" t="s">
        <v>0</v>
      </c>
      <c r="C261" s="3" t="s">
        <v>362</v>
      </c>
      <c r="D261" s="1" t="s">
        <v>1</v>
      </c>
      <c r="E261" s="4">
        <v>2</v>
      </c>
      <c r="F261" s="1" t="s">
        <v>153</v>
      </c>
      <c r="G261" s="9" t="str">
        <f t="shared" si="92"/>
        <v>R</v>
      </c>
      <c r="H261" s="1" t="s">
        <v>1</v>
      </c>
      <c r="I261" s="4">
        <v>347</v>
      </c>
      <c r="J261" s="1" t="s">
        <v>153</v>
      </c>
      <c r="K261" s="7">
        <f t="shared" si="93"/>
        <v>304</v>
      </c>
      <c r="L261" s="1" t="s">
        <v>1</v>
      </c>
      <c r="M261" s="1">
        <v>268</v>
      </c>
      <c r="N261" s="1" t="s">
        <v>153</v>
      </c>
      <c r="O261" s="7">
        <f t="shared" si="94"/>
        <v>162</v>
      </c>
      <c r="P261" s="1" t="s">
        <v>449</v>
      </c>
      <c r="Q261" s="2" t="s">
        <v>367</v>
      </c>
    </row>
    <row r="262" spans="2:17">
      <c r="B262" s="1" t="s">
        <v>0</v>
      </c>
      <c r="C262" s="3" t="s">
        <v>363</v>
      </c>
      <c r="D262" s="1" t="s">
        <v>1</v>
      </c>
      <c r="E262" s="4">
        <v>2</v>
      </c>
      <c r="F262" s="1" t="s">
        <v>153</v>
      </c>
      <c r="G262" s="9" t="str">
        <f t="shared" si="92"/>
        <v>R</v>
      </c>
      <c r="H262" s="1" t="s">
        <v>1</v>
      </c>
      <c r="I262" s="4">
        <v>272</v>
      </c>
      <c r="J262" s="1" t="s">
        <v>153</v>
      </c>
      <c r="K262" s="7">
        <f t="shared" si="93"/>
        <v>238</v>
      </c>
      <c r="L262" s="1" t="s">
        <v>1</v>
      </c>
      <c r="M262" s="1">
        <v>268</v>
      </c>
      <c r="N262" s="1" t="s">
        <v>153</v>
      </c>
      <c r="O262" s="7">
        <f t="shared" si="94"/>
        <v>162</v>
      </c>
      <c r="P262" s="1" t="s">
        <v>449</v>
      </c>
      <c r="Q262" s="2" t="s">
        <v>369</v>
      </c>
    </row>
    <row r="263" spans="2:17">
      <c r="B263" s="1" t="s">
        <v>0</v>
      </c>
      <c r="C263" s="3" t="s">
        <v>364</v>
      </c>
      <c r="D263" s="1" t="s">
        <v>1</v>
      </c>
      <c r="E263" s="4">
        <v>2</v>
      </c>
      <c r="F263" s="1" t="s">
        <v>153</v>
      </c>
      <c r="G263" s="9" t="str">
        <f t="shared" si="92"/>
        <v>R</v>
      </c>
      <c r="H263" s="1" t="s">
        <v>1</v>
      </c>
      <c r="I263" s="4">
        <v>321</v>
      </c>
      <c r="J263" s="1" t="s">
        <v>153</v>
      </c>
      <c r="K263" s="7">
        <f t="shared" si="93"/>
        <v>281</v>
      </c>
      <c r="L263" s="1" t="s">
        <v>1</v>
      </c>
      <c r="M263" s="1">
        <v>162</v>
      </c>
      <c r="N263" s="1" t="s">
        <v>153</v>
      </c>
      <c r="O263" s="7">
        <f t="shared" si="94"/>
        <v>255</v>
      </c>
      <c r="P263" s="1" t="s">
        <v>449</v>
      </c>
      <c r="Q263" s="2" t="s">
        <v>370</v>
      </c>
    </row>
    <row r="264" spans="2:17">
      <c r="B264" s="1" t="s">
        <v>0</v>
      </c>
      <c r="C264" s="3" t="s">
        <v>365</v>
      </c>
      <c r="D264" s="1" t="s">
        <v>1</v>
      </c>
      <c r="E264" s="4">
        <v>2</v>
      </c>
      <c r="F264" s="1" t="s">
        <v>153</v>
      </c>
      <c r="G264" s="9" t="str">
        <f t="shared" si="92"/>
        <v>R</v>
      </c>
      <c r="H264" s="1" t="s">
        <v>1</v>
      </c>
      <c r="I264" s="4">
        <v>321</v>
      </c>
      <c r="J264" s="1" t="s">
        <v>153</v>
      </c>
      <c r="K264" s="7">
        <f t="shared" si="93"/>
        <v>281</v>
      </c>
      <c r="L264" s="1" t="s">
        <v>1</v>
      </c>
      <c r="M264" s="1">
        <v>162</v>
      </c>
      <c r="N264" s="1" t="s">
        <v>153</v>
      </c>
      <c r="O264" s="7">
        <f t="shared" si="94"/>
        <v>255</v>
      </c>
      <c r="P264" s="1" t="s">
        <v>449</v>
      </c>
      <c r="Q264" s="2" t="s">
        <v>371</v>
      </c>
    </row>
    <row r="265" spans="2:17">
      <c r="B265" s="1" t="s">
        <v>0</v>
      </c>
      <c r="C265" s="3" t="s">
        <v>431</v>
      </c>
      <c r="D265" s="1" t="s">
        <v>1</v>
      </c>
      <c r="E265" s="4">
        <v>1</v>
      </c>
      <c r="F265" s="1" t="s">
        <v>153</v>
      </c>
      <c r="G265" s="9" t="str">
        <f t="shared" ref="G265:G267" si="95">IF(E265="","",IF(E265=1,"L",IF(E265=2,"R","?")))</f>
        <v>L</v>
      </c>
      <c r="H265" s="1" t="s">
        <v>1</v>
      </c>
      <c r="I265" s="4">
        <v>148</v>
      </c>
      <c r="J265" s="1" t="s">
        <v>153</v>
      </c>
      <c r="K265" s="7">
        <f t="shared" ref="K265:K267" si="96">IF(ISBLANK(I265),"",ROUND((700*I265)/800,0))</f>
        <v>130</v>
      </c>
      <c r="L265" s="1" t="s">
        <v>1</v>
      </c>
      <c r="M265" s="1">
        <v>248</v>
      </c>
      <c r="N265" s="1" t="s">
        <v>153</v>
      </c>
      <c r="O265" s="7">
        <f t="shared" ref="O265:O267" si="97">IF(ISBLANK(M265),"",ROUND((525*(600-M265-147))/600,0))</f>
        <v>179</v>
      </c>
      <c r="P265" s="1" t="s">
        <v>449</v>
      </c>
      <c r="Q265" s="2" t="s">
        <v>434</v>
      </c>
    </row>
    <row r="266" spans="2:17">
      <c r="B266" s="1" t="s">
        <v>0</v>
      </c>
      <c r="C266" s="3" t="s">
        <v>432</v>
      </c>
      <c r="D266" s="1" t="s">
        <v>1</v>
      </c>
      <c r="E266" s="4">
        <v>2</v>
      </c>
      <c r="F266" s="1" t="s">
        <v>153</v>
      </c>
      <c r="G266" s="9" t="str">
        <f t="shared" si="95"/>
        <v>R</v>
      </c>
      <c r="H266" s="1" t="s">
        <v>1</v>
      </c>
      <c r="I266" s="4">
        <v>650</v>
      </c>
      <c r="J266" s="1" t="s">
        <v>153</v>
      </c>
      <c r="K266" s="7">
        <f t="shared" si="96"/>
        <v>569</v>
      </c>
      <c r="L266" s="1" t="s">
        <v>1</v>
      </c>
      <c r="M266" s="1">
        <v>323</v>
      </c>
      <c r="N266" s="1" t="s">
        <v>153</v>
      </c>
      <c r="O266" s="7">
        <f t="shared" si="97"/>
        <v>114</v>
      </c>
      <c r="P266" s="1" t="s">
        <v>449</v>
      </c>
      <c r="Q266" s="2" t="s">
        <v>435</v>
      </c>
    </row>
    <row r="267" spans="2:17">
      <c r="B267" s="1" t="s">
        <v>0</v>
      </c>
      <c r="C267" s="3" t="s">
        <v>433</v>
      </c>
      <c r="D267" s="1" t="s">
        <v>1</v>
      </c>
      <c r="E267" s="4">
        <v>2</v>
      </c>
      <c r="F267" s="1" t="s">
        <v>153</v>
      </c>
      <c r="G267" s="9" t="str">
        <f t="shared" si="95"/>
        <v>R</v>
      </c>
      <c r="H267" s="1" t="s">
        <v>1</v>
      </c>
      <c r="I267" s="4">
        <v>650</v>
      </c>
      <c r="J267" s="1" t="s">
        <v>153</v>
      </c>
      <c r="K267" s="7">
        <f t="shared" si="96"/>
        <v>569</v>
      </c>
      <c r="L267" s="1" t="s">
        <v>1</v>
      </c>
      <c r="M267" s="1">
        <v>321</v>
      </c>
      <c r="N267" s="1" t="s">
        <v>153</v>
      </c>
      <c r="O267" s="7">
        <f t="shared" si="97"/>
        <v>116</v>
      </c>
      <c r="P267" s="1" t="s">
        <v>449</v>
      </c>
      <c r="Q267" s="2" t="s">
        <v>436</v>
      </c>
    </row>
    <row r="268" spans="2:17">
      <c r="B268" s="1" t="s">
        <v>0</v>
      </c>
      <c r="C268" s="3" t="s">
        <v>450</v>
      </c>
      <c r="D268" s="1" t="s">
        <v>1</v>
      </c>
      <c r="E268" s="4">
        <v>2</v>
      </c>
      <c r="F268" s="1" t="s">
        <v>153</v>
      </c>
      <c r="G268" s="9" t="str">
        <f t="shared" ref="G268:G271" si="98">IF(E268="","",IF(E268=1,"L",IF(E268=2,"R","?")))</f>
        <v>R</v>
      </c>
      <c r="H268" s="1" t="s">
        <v>1</v>
      </c>
      <c r="I268" s="4">
        <v>453</v>
      </c>
      <c r="J268" s="1" t="s">
        <v>153</v>
      </c>
      <c r="K268" s="7">
        <f t="shared" ref="K268:K271" si="99">IF(ISBLANK(I268),"",ROUND((700*I268)/800,0))</f>
        <v>396</v>
      </c>
      <c r="L268" s="1" t="s">
        <v>1</v>
      </c>
      <c r="M268" s="1">
        <v>292</v>
      </c>
      <c r="N268" s="1" t="s">
        <v>153</v>
      </c>
      <c r="O268" s="7">
        <f t="shared" ref="O268:O271" si="100">IF(ISBLANK(M268),"",ROUND((525*(600-M268-147))/600,0))</f>
        <v>141</v>
      </c>
      <c r="P268" s="1" t="s">
        <v>449</v>
      </c>
      <c r="Q268" s="2" t="s">
        <v>454</v>
      </c>
    </row>
    <row r="269" spans="2:17">
      <c r="B269" s="1" t="s">
        <v>0</v>
      </c>
      <c r="C269" s="3" t="s">
        <v>451</v>
      </c>
      <c r="D269" s="1" t="s">
        <v>1</v>
      </c>
      <c r="E269" s="4">
        <v>1</v>
      </c>
      <c r="F269" s="1" t="s">
        <v>153</v>
      </c>
      <c r="G269" s="9" t="str">
        <f t="shared" si="98"/>
        <v>L</v>
      </c>
      <c r="H269" s="1" t="s">
        <v>1</v>
      </c>
      <c r="I269" s="4">
        <v>213</v>
      </c>
      <c r="J269" s="1" t="s">
        <v>153</v>
      </c>
      <c r="K269" s="7">
        <f t="shared" si="99"/>
        <v>186</v>
      </c>
      <c r="L269" s="1" t="s">
        <v>1</v>
      </c>
      <c r="M269" s="1">
        <v>183</v>
      </c>
      <c r="N269" s="1" t="s">
        <v>153</v>
      </c>
      <c r="O269" s="7">
        <f t="shared" si="100"/>
        <v>236</v>
      </c>
      <c r="P269" s="1" t="s">
        <v>449</v>
      </c>
      <c r="Q269" s="2" t="s">
        <v>270</v>
      </c>
    </row>
    <row r="270" spans="2:17">
      <c r="B270" s="1" t="s">
        <v>0</v>
      </c>
      <c r="C270" s="3" t="s">
        <v>452</v>
      </c>
      <c r="D270" s="1" t="s">
        <v>1</v>
      </c>
      <c r="E270" s="4">
        <v>2</v>
      </c>
      <c r="F270" s="1" t="s">
        <v>153</v>
      </c>
      <c r="G270" s="9" t="str">
        <f t="shared" si="98"/>
        <v>R</v>
      </c>
      <c r="H270" s="1" t="s">
        <v>1</v>
      </c>
      <c r="I270" s="4">
        <v>500</v>
      </c>
      <c r="J270" s="1" t="s">
        <v>153</v>
      </c>
      <c r="K270" s="7">
        <f t="shared" si="99"/>
        <v>438</v>
      </c>
      <c r="L270" s="1" t="s">
        <v>1</v>
      </c>
      <c r="M270" s="1">
        <v>192</v>
      </c>
      <c r="N270" s="1" t="s">
        <v>153</v>
      </c>
      <c r="O270" s="7">
        <f t="shared" si="100"/>
        <v>228</v>
      </c>
      <c r="P270" s="1" t="s">
        <v>449</v>
      </c>
      <c r="Q270" s="2" t="s">
        <v>455</v>
      </c>
    </row>
    <row r="271" spans="2:17">
      <c r="B271" s="1" t="s">
        <v>0</v>
      </c>
      <c r="C271" s="3" t="s">
        <v>453</v>
      </c>
      <c r="D271" s="1" t="s">
        <v>1</v>
      </c>
      <c r="E271" s="4">
        <v>2</v>
      </c>
      <c r="F271" s="1" t="s">
        <v>153</v>
      </c>
      <c r="G271" s="9" t="str">
        <f t="shared" si="98"/>
        <v>R</v>
      </c>
      <c r="H271" s="1" t="s">
        <v>1</v>
      </c>
      <c r="I271" s="4">
        <v>508</v>
      </c>
      <c r="J271" s="1" t="s">
        <v>153</v>
      </c>
      <c r="K271" s="7">
        <f t="shared" si="99"/>
        <v>445</v>
      </c>
      <c r="L271" s="1" t="s">
        <v>1</v>
      </c>
      <c r="M271" s="1">
        <v>182</v>
      </c>
      <c r="N271" s="1" t="s">
        <v>153</v>
      </c>
      <c r="O271" s="7">
        <f t="shared" si="100"/>
        <v>237</v>
      </c>
      <c r="P271" s="1" t="s">
        <v>449</v>
      </c>
      <c r="Q271" s="2" t="s">
        <v>456</v>
      </c>
    </row>
    <row r="272" spans="2:17">
      <c r="B272" s="1" t="s">
        <v>0</v>
      </c>
      <c r="C272" s="3" t="s">
        <v>459</v>
      </c>
      <c r="D272" s="1" t="s">
        <v>1</v>
      </c>
      <c r="E272" s="4">
        <v>1</v>
      </c>
      <c r="F272" s="1" t="s">
        <v>153</v>
      </c>
      <c r="G272" s="9" t="str">
        <f t="shared" ref="G272" si="101">IF(E272="","",IF(E272=1,"L",IF(E272=2,"R","?")))</f>
        <v>L</v>
      </c>
      <c r="H272" s="1" t="s">
        <v>1</v>
      </c>
      <c r="I272" s="4">
        <v>19</v>
      </c>
      <c r="J272" s="1" t="s">
        <v>153</v>
      </c>
      <c r="K272" s="7">
        <f t="shared" ref="K272" si="102">IF(ISBLANK(I272),"",ROUND((700*I272)/800,0))</f>
        <v>17</v>
      </c>
      <c r="L272" s="1" t="s">
        <v>1</v>
      </c>
      <c r="M272" s="1">
        <v>239</v>
      </c>
      <c r="N272" s="1" t="s">
        <v>153</v>
      </c>
      <c r="O272" s="7">
        <f t="shared" ref="O272" si="103">IF(ISBLANK(M272),"",ROUND((525*(600-M272-147))/600,0))</f>
        <v>187</v>
      </c>
      <c r="P272" s="1" t="s">
        <v>449</v>
      </c>
      <c r="Q272" s="2" t="s">
        <v>473</v>
      </c>
    </row>
    <row r="273" spans="2:17">
      <c r="B273" s="1" t="s">
        <v>0</v>
      </c>
      <c r="C273" s="3" t="s">
        <v>460</v>
      </c>
      <c r="D273" s="1" t="s">
        <v>1</v>
      </c>
      <c r="E273" s="4">
        <v>1</v>
      </c>
      <c r="F273" s="1" t="s">
        <v>153</v>
      </c>
      <c r="G273" s="9" t="str">
        <f t="shared" ref="G273:G285" si="104">IF(E273="","",IF(E273=1,"L",IF(E273=2,"R","?")))</f>
        <v>L</v>
      </c>
      <c r="H273" s="1" t="s">
        <v>1</v>
      </c>
      <c r="I273" s="4">
        <v>155</v>
      </c>
      <c r="J273" s="1" t="s">
        <v>153</v>
      </c>
      <c r="K273" s="7">
        <f t="shared" ref="K273:K285" si="105">IF(ISBLANK(I273),"",ROUND((700*I273)/800,0))</f>
        <v>136</v>
      </c>
      <c r="L273" s="1" t="s">
        <v>1</v>
      </c>
      <c r="M273" s="1">
        <v>249</v>
      </c>
      <c r="N273" s="1" t="s">
        <v>153</v>
      </c>
      <c r="O273" s="7">
        <f t="shared" ref="O273:O285" si="106">IF(ISBLANK(M273),"",ROUND((525*(600-M273-147))/600,0))</f>
        <v>179</v>
      </c>
      <c r="P273" s="1" t="s">
        <v>449</v>
      </c>
      <c r="Q273" s="2" t="s">
        <v>474</v>
      </c>
    </row>
    <row r="274" spans="2:17">
      <c r="B274" s="1" t="s">
        <v>0</v>
      </c>
      <c r="C274" s="3" t="s">
        <v>461</v>
      </c>
      <c r="D274" s="1" t="s">
        <v>1</v>
      </c>
      <c r="E274" s="4">
        <v>1</v>
      </c>
      <c r="F274" s="1" t="s">
        <v>153</v>
      </c>
      <c r="G274" s="9" t="str">
        <f t="shared" si="104"/>
        <v>L</v>
      </c>
      <c r="H274" s="1" t="s">
        <v>1</v>
      </c>
      <c r="I274" s="4">
        <v>204</v>
      </c>
      <c r="J274" s="1" t="s">
        <v>153</v>
      </c>
      <c r="K274" s="7">
        <f t="shared" si="105"/>
        <v>179</v>
      </c>
      <c r="L274" s="1" t="s">
        <v>1</v>
      </c>
      <c r="M274" s="1">
        <v>260</v>
      </c>
      <c r="N274" s="1" t="s">
        <v>153</v>
      </c>
      <c r="O274" s="7">
        <f t="shared" si="106"/>
        <v>169</v>
      </c>
      <c r="P274" s="1" t="s">
        <v>449</v>
      </c>
      <c r="Q274" s="2" t="s">
        <v>475</v>
      </c>
    </row>
    <row r="275" spans="2:17">
      <c r="B275" s="1" t="s">
        <v>0</v>
      </c>
      <c r="C275" s="3" t="s">
        <v>462</v>
      </c>
      <c r="D275" s="1" t="s">
        <v>1</v>
      </c>
      <c r="E275" s="4">
        <v>1</v>
      </c>
      <c r="F275" s="1" t="s">
        <v>153</v>
      </c>
      <c r="G275" s="9" t="str">
        <f t="shared" si="104"/>
        <v>L</v>
      </c>
      <c r="H275" s="1" t="s">
        <v>1</v>
      </c>
      <c r="I275" s="4">
        <v>413</v>
      </c>
      <c r="J275" s="1" t="s">
        <v>153</v>
      </c>
      <c r="K275" s="7">
        <f t="shared" si="105"/>
        <v>361</v>
      </c>
      <c r="L275" s="1" t="s">
        <v>1</v>
      </c>
      <c r="M275" s="1">
        <v>323</v>
      </c>
      <c r="N275" s="1" t="s">
        <v>153</v>
      </c>
      <c r="O275" s="7">
        <f t="shared" si="106"/>
        <v>114</v>
      </c>
      <c r="P275" s="1" t="s">
        <v>449</v>
      </c>
      <c r="Q275" s="2" t="s">
        <v>476</v>
      </c>
    </row>
    <row r="276" spans="2:17">
      <c r="B276" s="1" t="s">
        <v>0</v>
      </c>
      <c r="C276" s="3" t="s">
        <v>463</v>
      </c>
      <c r="D276" s="1" t="s">
        <v>1</v>
      </c>
      <c r="E276" s="4">
        <v>1</v>
      </c>
      <c r="F276" s="1" t="s">
        <v>153</v>
      </c>
      <c r="G276" s="9" t="str">
        <f t="shared" si="104"/>
        <v>L</v>
      </c>
      <c r="H276" s="1" t="s">
        <v>1</v>
      </c>
      <c r="I276" s="4">
        <v>161</v>
      </c>
      <c r="J276" s="1" t="s">
        <v>153</v>
      </c>
      <c r="K276" s="7">
        <f t="shared" si="105"/>
        <v>141</v>
      </c>
      <c r="L276" s="1" t="s">
        <v>1</v>
      </c>
      <c r="M276" s="1">
        <v>329</v>
      </c>
      <c r="N276" s="1" t="s">
        <v>153</v>
      </c>
      <c r="O276" s="7">
        <f t="shared" si="106"/>
        <v>109</v>
      </c>
      <c r="P276" s="1" t="s">
        <v>449</v>
      </c>
      <c r="Q276" s="2" t="s">
        <v>477</v>
      </c>
    </row>
    <row r="277" spans="2:17">
      <c r="B277" s="1" t="s">
        <v>0</v>
      </c>
      <c r="C277" s="3" t="s">
        <v>464</v>
      </c>
      <c r="D277" s="1" t="s">
        <v>1</v>
      </c>
      <c r="E277" s="4">
        <v>1</v>
      </c>
      <c r="F277" s="1" t="s">
        <v>153</v>
      </c>
      <c r="G277" s="9" t="str">
        <f t="shared" si="104"/>
        <v>L</v>
      </c>
      <c r="H277" s="1" t="s">
        <v>1</v>
      </c>
      <c r="I277" s="4">
        <v>252</v>
      </c>
      <c r="J277" s="1" t="s">
        <v>153</v>
      </c>
      <c r="K277" s="7">
        <f t="shared" si="105"/>
        <v>221</v>
      </c>
      <c r="L277" s="1" t="s">
        <v>1</v>
      </c>
      <c r="M277" s="1">
        <v>308</v>
      </c>
      <c r="N277" s="1" t="s">
        <v>153</v>
      </c>
      <c r="O277" s="7">
        <f t="shared" si="106"/>
        <v>127</v>
      </c>
      <c r="P277" s="1" t="s">
        <v>449</v>
      </c>
      <c r="Q277" s="2" t="s">
        <v>478</v>
      </c>
    </row>
    <row r="278" spans="2:17">
      <c r="B278" s="1" t="s">
        <v>0</v>
      </c>
      <c r="C278" s="3" t="s">
        <v>465</v>
      </c>
      <c r="D278" s="1" t="s">
        <v>1</v>
      </c>
      <c r="E278" s="4">
        <v>1</v>
      </c>
      <c r="F278" s="1" t="s">
        <v>153</v>
      </c>
      <c r="G278" s="9" t="str">
        <f t="shared" si="104"/>
        <v>L</v>
      </c>
      <c r="H278" s="1" t="s">
        <v>1</v>
      </c>
      <c r="I278" s="4">
        <v>279</v>
      </c>
      <c r="J278" s="1" t="s">
        <v>153</v>
      </c>
      <c r="K278" s="7">
        <f t="shared" si="105"/>
        <v>244</v>
      </c>
      <c r="L278" s="1" t="s">
        <v>1</v>
      </c>
      <c r="M278" s="1">
        <v>159</v>
      </c>
      <c r="N278" s="1" t="s">
        <v>153</v>
      </c>
      <c r="O278" s="7">
        <f t="shared" si="106"/>
        <v>257</v>
      </c>
      <c r="P278" s="1" t="s">
        <v>449</v>
      </c>
      <c r="Q278" s="2" t="s">
        <v>479</v>
      </c>
    </row>
    <row r="279" spans="2:17">
      <c r="B279" s="1" t="s">
        <v>0</v>
      </c>
      <c r="C279" s="3" t="s">
        <v>466</v>
      </c>
      <c r="D279" s="1" t="s">
        <v>1</v>
      </c>
      <c r="E279" s="4">
        <v>1</v>
      </c>
      <c r="F279" s="1" t="s">
        <v>153</v>
      </c>
      <c r="G279" s="9" t="str">
        <f t="shared" si="104"/>
        <v>L</v>
      </c>
      <c r="H279" s="1" t="s">
        <v>1</v>
      </c>
      <c r="I279" s="4">
        <v>327</v>
      </c>
      <c r="J279" s="1" t="s">
        <v>153</v>
      </c>
      <c r="K279" s="7">
        <f t="shared" si="105"/>
        <v>286</v>
      </c>
      <c r="L279" s="1" t="s">
        <v>1</v>
      </c>
      <c r="M279" s="1">
        <v>158</v>
      </c>
      <c r="N279" s="1" t="s">
        <v>153</v>
      </c>
      <c r="O279" s="7">
        <f t="shared" si="106"/>
        <v>258</v>
      </c>
      <c r="P279" s="1" t="s">
        <v>449</v>
      </c>
      <c r="Q279" s="2" t="s">
        <v>480</v>
      </c>
    </row>
    <row r="280" spans="2:17">
      <c r="B280" s="1" t="s">
        <v>0</v>
      </c>
      <c r="C280" s="3" t="s">
        <v>467</v>
      </c>
      <c r="D280" s="1" t="s">
        <v>1</v>
      </c>
      <c r="E280" s="4">
        <v>1</v>
      </c>
      <c r="F280" s="1" t="s">
        <v>153</v>
      </c>
      <c r="G280" s="9" t="str">
        <f t="shared" si="104"/>
        <v>L</v>
      </c>
      <c r="H280" s="1" t="s">
        <v>1</v>
      </c>
      <c r="I280" s="4">
        <v>329</v>
      </c>
      <c r="J280" s="1" t="s">
        <v>153</v>
      </c>
      <c r="K280" s="7">
        <f t="shared" si="105"/>
        <v>288</v>
      </c>
      <c r="L280" s="1" t="s">
        <v>1</v>
      </c>
      <c r="M280" s="1">
        <v>158</v>
      </c>
      <c r="N280" s="1" t="s">
        <v>153</v>
      </c>
      <c r="O280" s="7">
        <f t="shared" si="106"/>
        <v>258</v>
      </c>
      <c r="P280" s="1" t="s">
        <v>449</v>
      </c>
      <c r="Q280" s="2" t="s">
        <v>481</v>
      </c>
    </row>
    <row r="281" spans="2:17">
      <c r="B281" s="1" t="s">
        <v>0</v>
      </c>
      <c r="C281" s="3" t="s">
        <v>468</v>
      </c>
      <c r="D281" s="1" t="s">
        <v>1</v>
      </c>
      <c r="E281" s="4">
        <v>1</v>
      </c>
      <c r="F281" s="1" t="s">
        <v>153</v>
      </c>
      <c r="G281" s="9" t="str">
        <f t="shared" si="104"/>
        <v>L</v>
      </c>
      <c r="H281" s="1" t="s">
        <v>1</v>
      </c>
      <c r="I281" s="4">
        <v>327</v>
      </c>
      <c r="J281" s="1" t="s">
        <v>153</v>
      </c>
      <c r="K281" s="7">
        <f t="shared" si="105"/>
        <v>286</v>
      </c>
      <c r="L281" s="1" t="s">
        <v>1</v>
      </c>
      <c r="M281" s="1">
        <v>158</v>
      </c>
      <c r="N281" s="1" t="s">
        <v>153</v>
      </c>
      <c r="O281" s="7">
        <f t="shared" si="106"/>
        <v>258</v>
      </c>
      <c r="P281" s="1" t="s">
        <v>449</v>
      </c>
      <c r="Q281" s="2" t="s">
        <v>482</v>
      </c>
    </row>
    <row r="282" spans="2:17">
      <c r="B282" s="1" t="s">
        <v>0</v>
      </c>
      <c r="C282" s="3" t="s">
        <v>469</v>
      </c>
      <c r="D282" s="1" t="s">
        <v>1</v>
      </c>
      <c r="E282" s="4">
        <v>1</v>
      </c>
      <c r="F282" s="1" t="s">
        <v>153</v>
      </c>
      <c r="G282" s="9" t="str">
        <f t="shared" si="104"/>
        <v>L</v>
      </c>
      <c r="H282" s="1" t="s">
        <v>1</v>
      </c>
      <c r="I282" s="4">
        <v>234</v>
      </c>
      <c r="J282" s="1" t="s">
        <v>153</v>
      </c>
      <c r="K282" s="7">
        <f t="shared" si="105"/>
        <v>205</v>
      </c>
      <c r="L282" s="1" t="s">
        <v>1</v>
      </c>
      <c r="M282" s="1">
        <v>283</v>
      </c>
      <c r="N282" s="1" t="s">
        <v>153</v>
      </c>
      <c r="O282" s="7">
        <f t="shared" si="106"/>
        <v>149</v>
      </c>
      <c r="P282" s="1" t="s">
        <v>449</v>
      </c>
      <c r="Q282" s="2" t="s">
        <v>483</v>
      </c>
    </row>
    <row r="283" spans="2:17">
      <c r="B283" s="1" t="s">
        <v>0</v>
      </c>
      <c r="C283" s="3" t="s">
        <v>470</v>
      </c>
      <c r="D283" s="1" t="s">
        <v>1</v>
      </c>
      <c r="E283" s="4">
        <v>1</v>
      </c>
      <c r="F283" s="1" t="s">
        <v>153</v>
      </c>
      <c r="G283" s="9" t="str">
        <f t="shared" si="104"/>
        <v>L</v>
      </c>
      <c r="H283" s="1" t="s">
        <v>1</v>
      </c>
      <c r="I283" s="4">
        <v>234</v>
      </c>
      <c r="J283" s="1" t="s">
        <v>153</v>
      </c>
      <c r="K283" s="7">
        <f t="shared" si="105"/>
        <v>205</v>
      </c>
      <c r="L283" s="1" t="s">
        <v>1</v>
      </c>
      <c r="M283" s="1">
        <v>283</v>
      </c>
      <c r="N283" s="1" t="s">
        <v>153</v>
      </c>
      <c r="O283" s="7">
        <f t="shared" si="106"/>
        <v>149</v>
      </c>
      <c r="P283" s="1" t="s">
        <v>449</v>
      </c>
      <c r="Q283" s="2" t="s">
        <v>484</v>
      </c>
    </row>
    <row r="284" spans="2:17">
      <c r="B284" s="1" t="s">
        <v>0</v>
      </c>
      <c r="C284" s="3" t="s">
        <v>471</v>
      </c>
      <c r="D284" s="1" t="s">
        <v>1</v>
      </c>
      <c r="E284" s="4">
        <v>1</v>
      </c>
      <c r="F284" s="1" t="s">
        <v>153</v>
      </c>
      <c r="G284" s="9" t="str">
        <f t="shared" si="104"/>
        <v>L</v>
      </c>
      <c r="H284" s="1" t="s">
        <v>1</v>
      </c>
      <c r="I284" s="4">
        <v>45</v>
      </c>
      <c r="J284" s="1" t="s">
        <v>153</v>
      </c>
      <c r="K284" s="7">
        <f t="shared" si="105"/>
        <v>39</v>
      </c>
      <c r="L284" s="1" t="s">
        <v>1</v>
      </c>
      <c r="M284" s="1">
        <v>330</v>
      </c>
      <c r="N284" s="1" t="s">
        <v>153</v>
      </c>
      <c r="O284" s="7">
        <f t="shared" si="106"/>
        <v>108</v>
      </c>
      <c r="P284" s="1" t="s">
        <v>449</v>
      </c>
      <c r="Q284" s="2" t="s">
        <v>485</v>
      </c>
    </row>
    <row r="285" spans="2:17">
      <c r="B285" s="1" t="s">
        <v>0</v>
      </c>
      <c r="C285" s="3" t="s">
        <v>472</v>
      </c>
      <c r="D285" s="1" t="s">
        <v>1</v>
      </c>
      <c r="E285" s="4">
        <v>1</v>
      </c>
      <c r="F285" s="1" t="s">
        <v>153</v>
      </c>
      <c r="G285" s="9" t="str">
        <f t="shared" si="104"/>
        <v>L</v>
      </c>
      <c r="H285" s="1" t="s">
        <v>1</v>
      </c>
      <c r="I285" s="4">
        <v>44</v>
      </c>
      <c r="J285" s="1" t="s">
        <v>153</v>
      </c>
      <c r="K285" s="7">
        <f t="shared" si="105"/>
        <v>39</v>
      </c>
      <c r="L285" s="1" t="s">
        <v>1</v>
      </c>
      <c r="M285" s="1">
        <v>332</v>
      </c>
      <c r="N285" s="1" t="s">
        <v>153</v>
      </c>
      <c r="O285" s="7">
        <f t="shared" si="106"/>
        <v>106</v>
      </c>
      <c r="P285" s="1" t="s">
        <v>449</v>
      </c>
      <c r="Q285" s="2" t="s">
        <v>486</v>
      </c>
    </row>
    <row r="286" spans="2:17">
      <c r="B286" s="1" t="s">
        <v>0</v>
      </c>
      <c r="C286" s="3" t="s">
        <v>489</v>
      </c>
      <c r="D286" s="1" t="s">
        <v>1</v>
      </c>
      <c r="E286" s="4">
        <v>1</v>
      </c>
      <c r="F286" s="1" t="s">
        <v>153</v>
      </c>
      <c r="G286" s="9" t="str">
        <f t="shared" ref="G286:G290" si="107">IF(E286="","",IF(E286=1,"L",IF(E286=2,"R","?")))</f>
        <v>L</v>
      </c>
      <c r="H286" s="1" t="s">
        <v>1</v>
      </c>
      <c r="I286" s="4">
        <v>242</v>
      </c>
      <c r="J286" s="1" t="s">
        <v>153</v>
      </c>
      <c r="K286" s="7">
        <f t="shared" ref="K286:K290" si="108">IF(ISBLANK(I286),"",ROUND((700*I286)/800,0))</f>
        <v>212</v>
      </c>
      <c r="L286" s="1" t="s">
        <v>1</v>
      </c>
      <c r="M286" s="1">
        <v>310</v>
      </c>
      <c r="N286" s="1" t="s">
        <v>153</v>
      </c>
      <c r="O286" s="7">
        <f t="shared" ref="O286:O290" si="109">IF(ISBLANK(M286),"",ROUND((525*(600-M286-147))/600,0))</f>
        <v>125</v>
      </c>
      <c r="P286" s="1" t="s">
        <v>449</v>
      </c>
      <c r="Q286" s="2" t="s">
        <v>491</v>
      </c>
    </row>
    <row r="287" spans="2:17">
      <c r="B287" s="1" t="s">
        <v>0</v>
      </c>
      <c r="C287" s="3" t="s">
        <v>490</v>
      </c>
      <c r="D287" s="1" t="s">
        <v>1</v>
      </c>
      <c r="E287" s="4">
        <v>1</v>
      </c>
      <c r="F287" s="1" t="s">
        <v>153</v>
      </c>
      <c r="G287" s="9" t="str">
        <f t="shared" si="107"/>
        <v>L</v>
      </c>
      <c r="H287" s="1" t="s">
        <v>1</v>
      </c>
      <c r="I287" s="4">
        <v>172</v>
      </c>
      <c r="J287" s="1" t="s">
        <v>153</v>
      </c>
      <c r="K287" s="7">
        <f t="shared" si="108"/>
        <v>151</v>
      </c>
      <c r="L287" s="1" t="s">
        <v>1</v>
      </c>
      <c r="M287" s="1">
        <v>321</v>
      </c>
      <c r="N287" s="1" t="s">
        <v>153</v>
      </c>
      <c r="O287" s="7">
        <f t="shared" si="109"/>
        <v>116</v>
      </c>
      <c r="P287" s="1" t="s">
        <v>449</v>
      </c>
      <c r="Q287" s="2" t="s">
        <v>492</v>
      </c>
    </row>
    <row r="288" spans="2:17">
      <c r="B288" s="1" t="s">
        <v>0</v>
      </c>
      <c r="C288" s="3" t="s">
        <v>496</v>
      </c>
      <c r="D288" s="1" t="s">
        <v>1</v>
      </c>
      <c r="E288" s="4">
        <v>1</v>
      </c>
      <c r="F288" s="1" t="s">
        <v>153</v>
      </c>
      <c r="G288" s="9" t="str">
        <f t="shared" si="107"/>
        <v>L</v>
      </c>
      <c r="H288" s="1" t="s">
        <v>1</v>
      </c>
      <c r="I288" s="4">
        <v>103</v>
      </c>
      <c r="J288" s="1" t="s">
        <v>153</v>
      </c>
      <c r="K288" s="7">
        <f t="shared" si="108"/>
        <v>90</v>
      </c>
      <c r="L288" s="1" t="s">
        <v>1</v>
      </c>
      <c r="M288" s="1">
        <v>334</v>
      </c>
      <c r="N288" s="1" t="s">
        <v>153</v>
      </c>
      <c r="O288" s="7">
        <f t="shared" si="109"/>
        <v>104</v>
      </c>
      <c r="P288" s="1" t="s">
        <v>449</v>
      </c>
      <c r="Q288" s="2" t="s">
        <v>493</v>
      </c>
    </row>
    <row r="289" spans="2:17">
      <c r="B289" s="1" t="s">
        <v>0</v>
      </c>
      <c r="C289" s="3" t="s">
        <v>497</v>
      </c>
      <c r="D289" s="1" t="s">
        <v>1</v>
      </c>
      <c r="E289" s="4">
        <v>1</v>
      </c>
      <c r="F289" s="1" t="s">
        <v>153</v>
      </c>
      <c r="G289" s="9" t="str">
        <f t="shared" si="107"/>
        <v>L</v>
      </c>
      <c r="H289" s="1" t="s">
        <v>1</v>
      </c>
      <c r="I289" s="4">
        <v>208</v>
      </c>
      <c r="J289" s="1" t="s">
        <v>153</v>
      </c>
      <c r="K289" s="7">
        <f t="shared" si="108"/>
        <v>182</v>
      </c>
      <c r="L289" s="1" t="s">
        <v>1</v>
      </c>
      <c r="M289" s="1">
        <v>335</v>
      </c>
      <c r="N289" s="1" t="s">
        <v>153</v>
      </c>
      <c r="O289" s="7">
        <f t="shared" si="109"/>
        <v>103</v>
      </c>
      <c r="P289" s="1" t="s">
        <v>449</v>
      </c>
      <c r="Q289" s="2" t="s">
        <v>495</v>
      </c>
    </row>
    <row r="290" spans="2:17">
      <c r="B290" s="1" t="s">
        <v>0</v>
      </c>
      <c r="C290" s="3" t="s">
        <v>498</v>
      </c>
      <c r="D290" s="1" t="s">
        <v>1</v>
      </c>
      <c r="E290" s="4">
        <v>1</v>
      </c>
      <c r="F290" s="1" t="s">
        <v>153</v>
      </c>
      <c r="G290" s="9" t="str">
        <f t="shared" si="107"/>
        <v>L</v>
      </c>
      <c r="H290" s="1" t="s">
        <v>1</v>
      </c>
      <c r="I290" s="4">
        <v>273</v>
      </c>
      <c r="J290" s="1" t="s">
        <v>153</v>
      </c>
      <c r="K290" s="7">
        <f t="shared" si="108"/>
        <v>239</v>
      </c>
      <c r="L290" s="1" t="s">
        <v>1</v>
      </c>
      <c r="M290" s="1">
        <v>349</v>
      </c>
      <c r="N290" s="1" t="s">
        <v>153</v>
      </c>
      <c r="O290" s="7">
        <f t="shared" si="109"/>
        <v>91</v>
      </c>
      <c r="P290" s="1" t="s">
        <v>449</v>
      </c>
      <c r="Q290" s="2" t="s">
        <v>494</v>
      </c>
    </row>
    <row r="291" spans="2:17">
      <c r="B291" s="1" t="s">
        <v>0</v>
      </c>
      <c r="C291" s="3" t="s">
        <v>499</v>
      </c>
      <c r="D291" s="1" t="s">
        <v>1</v>
      </c>
      <c r="E291" s="4">
        <v>2</v>
      </c>
      <c r="F291" s="1" t="s">
        <v>153</v>
      </c>
      <c r="G291" s="9" t="str">
        <f t="shared" ref="G291:G296" si="110">IF(E291="","",IF(E291=1,"L",IF(E291=2,"R","?")))</f>
        <v>R</v>
      </c>
      <c r="H291" s="1" t="s">
        <v>1</v>
      </c>
      <c r="I291" s="4">
        <v>363</v>
      </c>
      <c r="J291" s="1" t="s">
        <v>153</v>
      </c>
      <c r="K291" s="7">
        <f t="shared" ref="K291:K296" si="111">IF(ISBLANK(I291),"",ROUND((700*I291)/800,0))</f>
        <v>318</v>
      </c>
      <c r="L291" s="1" t="s">
        <v>1</v>
      </c>
      <c r="M291" s="1">
        <v>241</v>
      </c>
      <c r="N291" s="1" t="s">
        <v>153</v>
      </c>
      <c r="O291" s="7">
        <f t="shared" ref="O291:O296" si="112">IF(ISBLANK(M291),"",ROUND((525*(600-M291-147))/600,0))</f>
        <v>186</v>
      </c>
      <c r="P291" s="1" t="s">
        <v>449</v>
      </c>
      <c r="Q291" s="2" t="s">
        <v>505</v>
      </c>
    </row>
    <row r="292" spans="2:17">
      <c r="B292" s="1" t="s">
        <v>0</v>
      </c>
      <c r="C292" s="3" t="s">
        <v>500</v>
      </c>
      <c r="D292" s="1" t="s">
        <v>1</v>
      </c>
      <c r="E292" s="4">
        <v>1</v>
      </c>
      <c r="F292" s="1" t="s">
        <v>153</v>
      </c>
      <c r="G292" s="9" t="str">
        <f t="shared" si="110"/>
        <v>L</v>
      </c>
      <c r="H292" s="1" t="s">
        <v>1</v>
      </c>
      <c r="I292" s="4">
        <v>191</v>
      </c>
      <c r="J292" s="1" t="s">
        <v>153</v>
      </c>
      <c r="K292" s="7">
        <f t="shared" si="111"/>
        <v>167</v>
      </c>
      <c r="L292" s="1" t="s">
        <v>1</v>
      </c>
      <c r="M292" s="1">
        <v>226</v>
      </c>
      <c r="N292" s="1" t="s">
        <v>153</v>
      </c>
      <c r="O292" s="7">
        <f t="shared" si="112"/>
        <v>199</v>
      </c>
      <c r="P292" s="1" t="s">
        <v>449</v>
      </c>
      <c r="Q292" s="2" t="s">
        <v>506</v>
      </c>
    </row>
    <row r="293" spans="2:17">
      <c r="B293" s="1" t="s">
        <v>0</v>
      </c>
      <c r="C293" s="3" t="s">
        <v>501</v>
      </c>
      <c r="D293" s="1" t="s">
        <v>1</v>
      </c>
      <c r="E293" s="4">
        <v>1</v>
      </c>
      <c r="F293" s="1" t="s">
        <v>153</v>
      </c>
      <c r="G293" s="9" t="str">
        <f t="shared" si="110"/>
        <v>L</v>
      </c>
      <c r="H293" s="1" t="s">
        <v>1</v>
      </c>
      <c r="I293" s="4">
        <v>197</v>
      </c>
      <c r="J293" s="1" t="s">
        <v>153</v>
      </c>
      <c r="K293" s="7">
        <f t="shared" si="111"/>
        <v>172</v>
      </c>
      <c r="L293" s="1" t="s">
        <v>1</v>
      </c>
      <c r="M293" s="1">
        <v>240</v>
      </c>
      <c r="N293" s="1" t="s">
        <v>153</v>
      </c>
      <c r="O293" s="7">
        <f t="shared" si="112"/>
        <v>186</v>
      </c>
      <c r="P293" s="1" t="s">
        <v>449</v>
      </c>
      <c r="Q293" s="2" t="s">
        <v>507</v>
      </c>
    </row>
    <row r="294" spans="2:17">
      <c r="B294" s="1" t="s">
        <v>0</v>
      </c>
      <c r="C294" s="3" t="s">
        <v>502</v>
      </c>
      <c r="D294" s="1" t="s">
        <v>1</v>
      </c>
      <c r="E294" s="4">
        <v>1</v>
      </c>
      <c r="F294" s="1" t="s">
        <v>153</v>
      </c>
      <c r="G294" s="9" t="str">
        <f t="shared" si="110"/>
        <v>L</v>
      </c>
      <c r="H294" s="1" t="s">
        <v>1</v>
      </c>
      <c r="I294" s="4">
        <v>193</v>
      </c>
      <c r="J294" s="1" t="s">
        <v>153</v>
      </c>
      <c r="K294" s="7">
        <f t="shared" si="111"/>
        <v>169</v>
      </c>
      <c r="L294" s="1" t="s">
        <v>1</v>
      </c>
      <c r="M294" s="1">
        <v>300</v>
      </c>
      <c r="N294" s="1" t="s">
        <v>153</v>
      </c>
      <c r="O294" s="7">
        <f t="shared" si="112"/>
        <v>134</v>
      </c>
      <c r="P294" s="1" t="s">
        <v>449</v>
      </c>
      <c r="Q294" s="2" t="s">
        <v>508</v>
      </c>
    </row>
    <row r="295" spans="2:17">
      <c r="B295" s="1" t="s">
        <v>0</v>
      </c>
      <c r="C295" s="3" t="s">
        <v>503</v>
      </c>
      <c r="D295" s="1" t="s">
        <v>1</v>
      </c>
      <c r="E295" s="4">
        <v>2</v>
      </c>
      <c r="F295" s="1" t="s">
        <v>153</v>
      </c>
      <c r="G295" s="9" t="str">
        <f t="shared" si="110"/>
        <v>R</v>
      </c>
      <c r="H295" s="1" t="s">
        <v>1</v>
      </c>
      <c r="I295" s="4">
        <v>391</v>
      </c>
      <c r="J295" s="1" t="s">
        <v>153</v>
      </c>
      <c r="K295" s="7">
        <f t="shared" si="111"/>
        <v>342</v>
      </c>
      <c r="L295" s="1" t="s">
        <v>1</v>
      </c>
      <c r="M295" s="1">
        <v>318</v>
      </c>
      <c r="N295" s="1" t="s">
        <v>153</v>
      </c>
      <c r="O295" s="7">
        <f t="shared" si="112"/>
        <v>118</v>
      </c>
      <c r="P295" s="1" t="s">
        <v>449</v>
      </c>
      <c r="Q295" s="2" t="s">
        <v>509</v>
      </c>
    </row>
    <row r="296" spans="2:17">
      <c r="B296" s="1" t="s">
        <v>0</v>
      </c>
      <c r="C296" s="3" t="s">
        <v>504</v>
      </c>
      <c r="D296" s="1" t="s">
        <v>1</v>
      </c>
      <c r="E296" s="4">
        <v>2</v>
      </c>
      <c r="F296" s="1" t="s">
        <v>153</v>
      </c>
      <c r="G296" s="9" t="str">
        <f t="shared" si="110"/>
        <v>R</v>
      </c>
      <c r="H296" s="1" t="s">
        <v>1</v>
      </c>
      <c r="I296" s="4">
        <v>418</v>
      </c>
      <c r="J296" s="1" t="s">
        <v>153</v>
      </c>
      <c r="K296" s="7">
        <f t="shared" si="111"/>
        <v>366</v>
      </c>
      <c r="L296" s="1" t="s">
        <v>1</v>
      </c>
      <c r="M296" s="1">
        <v>321</v>
      </c>
      <c r="N296" s="1" t="s">
        <v>153</v>
      </c>
      <c r="O296" s="7">
        <f t="shared" si="112"/>
        <v>116</v>
      </c>
      <c r="P296" s="1" t="s">
        <v>449</v>
      </c>
      <c r="Q296" s="2" t="s">
        <v>510</v>
      </c>
    </row>
    <row r="297" spans="2:17">
      <c r="B297" s="1" t="s">
        <v>0</v>
      </c>
      <c r="C297" s="3" t="s">
        <v>512</v>
      </c>
      <c r="D297" s="1" t="s">
        <v>1</v>
      </c>
      <c r="E297" s="4">
        <v>1</v>
      </c>
      <c r="F297" s="1" t="s">
        <v>153</v>
      </c>
      <c r="G297" s="9" t="str">
        <f t="shared" ref="G297:G301" si="113">IF(E297="","",IF(E297=1,"L",IF(E297=2,"R","?")))</f>
        <v>L</v>
      </c>
      <c r="H297" s="1" t="s">
        <v>1</v>
      </c>
      <c r="I297" s="4">
        <v>304</v>
      </c>
      <c r="J297" s="1" t="s">
        <v>153</v>
      </c>
      <c r="K297" s="7">
        <f t="shared" ref="K297:K301" si="114">IF(ISBLANK(I297),"",ROUND((700*I297)/800,0))</f>
        <v>266</v>
      </c>
      <c r="L297" s="1" t="s">
        <v>1</v>
      </c>
      <c r="M297" s="1">
        <v>298</v>
      </c>
      <c r="N297" s="1" t="s">
        <v>153</v>
      </c>
      <c r="O297" s="7">
        <f t="shared" ref="O297:O301" si="115">IF(ISBLANK(M297),"",ROUND((525*(600-M297-147))/600,0))</f>
        <v>136</v>
      </c>
      <c r="P297" s="1" t="s">
        <v>449</v>
      </c>
      <c r="Q297" s="2" t="s">
        <v>517</v>
      </c>
    </row>
    <row r="298" spans="2:17">
      <c r="B298" s="1" t="s">
        <v>0</v>
      </c>
      <c r="C298" s="3" t="s">
        <v>513</v>
      </c>
      <c r="D298" s="1" t="s">
        <v>1</v>
      </c>
      <c r="E298" s="4">
        <v>1</v>
      </c>
      <c r="F298" s="1" t="s">
        <v>153</v>
      </c>
      <c r="G298" s="9" t="str">
        <f t="shared" si="113"/>
        <v>L</v>
      </c>
      <c r="H298" s="1" t="s">
        <v>1</v>
      </c>
      <c r="I298" s="4">
        <v>304</v>
      </c>
      <c r="J298" s="1" t="s">
        <v>153</v>
      </c>
      <c r="K298" s="7">
        <f t="shared" si="114"/>
        <v>266</v>
      </c>
      <c r="L298" s="1" t="s">
        <v>1</v>
      </c>
      <c r="M298" s="1">
        <v>298</v>
      </c>
      <c r="N298" s="1" t="s">
        <v>153</v>
      </c>
      <c r="O298" s="7">
        <f t="shared" si="115"/>
        <v>136</v>
      </c>
      <c r="P298" s="1" t="s">
        <v>449</v>
      </c>
      <c r="Q298" s="2" t="s">
        <v>518</v>
      </c>
    </row>
    <row r="299" spans="2:17">
      <c r="B299" s="1" t="s">
        <v>0</v>
      </c>
      <c r="C299" s="3" t="s">
        <v>514</v>
      </c>
      <c r="D299" s="1" t="s">
        <v>1</v>
      </c>
      <c r="E299" s="4">
        <v>1</v>
      </c>
      <c r="F299" s="1" t="s">
        <v>153</v>
      </c>
      <c r="G299" s="9" t="str">
        <f t="shared" si="113"/>
        <v>L</v>
      </c>
      <c r="H299" s="1" t="s">
        <v>1</v>
      </c>
      <c r="I299" s="4">
        <v>304</v>
      </c>
      <c r="J299" s="1" t="s">
        <v>153</v>
      </c>
      <c r="K299" s="7">
        <f t="shared" si="114"/>
        <v>266</v>
      </c>
      <c r="L299" s="1" t="s">
        <v>1</v>
      </c>
      <c r="M299" s="1">
        <v>298</v>
      </c>
      <c r="N299" s="1" t="s">
        <v>153</v>
      </c>
      <c r="O299" s="7">
        <f t="shared" si="115"/>
        <v>136</v>
      </c>
      <c r="P299" s="1" t="s">
        <v>449</v>
      </c>
      <c r="Q299" s="2" t="s">
        <v>519</v>
      </c>
    </row>
    <row r="300" spans="2:17">
      <c r="B300" s="1" t="s">
        <v>0</v>
      </c>
      <c r="C300" s="3" t="s">
        <v>515</v>
      </c>
      <c r="D300" s="1" t="s">
        <v>1</v>
      </c>
      <c r="E300" s="4">
        <v>1</v>
      </c>
      <c r="F300" s="1" t="s">
        <v>153</v>
      </c>
      <c r="G300" s="9" t="str">
        <f t="shared" si="113"/>
        <v>L</v>
      </c>
      <c r="H300" s="1" t="s">
        <v>1</v>
      </c>
      <c r="I300" s="4">
        <v>304</v>
      </c>
      <c r="J300" s="1" t="s">
        <v>153</v>
      </c>
      <c r="K300" s="7">
        <f t="shared" si="114"/>
        <v>266</v>
      </c>
      <c r="L300" s="1" t="s">
        <v>1</v>
      </c>
      <c r="M300" s="1">
        <v>298</v>
      </c>
      <c r="N300" s="1" t="s">
        <v>153</v>
      </c>
      <c r="O300" s="7">
        <f t="shared" si="115"/>
        <v>136</v>
      </c>
      <c r="P300" s="1" t="s">
        <v>449</v>
      </c>
      <c r="Q300" s="2" t="s">
        <v>520</v>
      </c>
    </row>
    <row r="301" spans="2:17">
      <c r="B301" s="1" t="s">
        <v>0</v>
      </c>
      <c r="C301" s="3" t="s">
        <v>516</v>
      </c>
      <c r="D301" s="1" t="s">
        <v>1</v>
      </c>
      <c r="E301" s="4">
        <v>1</v>
      </c>
      <c r="F301" s="1" t="s">
        <v>153</v>
      </c>
      <c r="G301" s="9" t="str">
        <f t="shared" si="113"/>
        <v>L</v>
      </c>
      <c r="H301" s="1" t="s">
        <v>1</v>
      </c>
      <c r="I301" s="4">
        <v>304</v>
      </c>
      <c r="J301" s="1" t="s">
        <v>153</v>
      </c>
      <c r="K301" s="7">
        <f t="shared" si="114"/>
        <v>266</v>
      </c>
      <c r="L301" s="1" t="s">
        <v>1</v>
      </c>
      <c r="M301" s="1">
        <v>298</v>
      </c>
      <c r="N301" s="1" t="s">
        <v>153</v>
      </c>
      <c r="O301" s="7">
        <f t="shared" si="115"/>
        <v>136</v>
      </c>
      <c r="P301" s="1" t="s">
        <v>449</v>
      </c>
      <c r="Q301" s="2" t="s">
        <v>521</v>
      </c>
    </row>
    <row r="302" spans="2:17">
      <c r="B302" s="1" t="s">
        <v>0</v>
      </c>
      <c r="C302" s="3" t="s">
        <v>522</v>
      </c>
      <c r="D302" s="1" t="s">
        <v>1</v>
      </c>
      <c r="E302" s="4">
        <v>1</v>
      </c>
      <c r="F302" s="1" t="s">
        <v>153</v>
      </c>
      <c r="G302" s="9" t="str">
        <f t="shared" ref="G302" si="116">IF(E302="","",IF(E302=1,"L",IF(E302=2,"R","?")))</f>
        <v>L</v>
      </c>
      <c r="H302" s="1" t="s">
        <v>1</v>
      </c>
      <c r="I302" s="4">
        <v>315</v>
      </c>
      <c r="J302" s="1" t="s">
        <v>153</v>
      </c>
      <c r="K302" s="7">
        <f t="shared" ref="K302" si="117">IF(ISBLANK(I302),"",ROUND((700*I302)/800,0))</f>
        <v>276</v>
      </c>
      <c r="L302" s="1" t="s">
        <v>1</v>
      </c>
      <c r="M302" s="1">
        <v>262</v>
      </c>
      <c r="N302" s="1" t="s">
        <v>153</v>
      </c>
      <c r="O302" s="7">
        <f t="shared" ref="O302" si="118">IF(ISBLANK(M302),"",ROUND((525*(600-M302-147))/600,0))</f>
        <v>167</v>
      </c>
      <c r="P302" s="1" t="s">
        <v>449</v>
      </c>
      <c r="Q302" s="2" t="s">
        <v>523</v>
      </c>
    </row>
    <row r="303" spans="2:17">
      <c r="B303" s="1" t="s">
        <v>0</v>
      </c>
      <c r="C303" s="3" t="s">
        <v>524</v>
      </c>
      <c r="D303" s="1" t="s">
        <v>1</v>
      </c>
      <c r="E303" s="4">
        <v>2</v>
      </c>
      <c r="F303" s="1" t="s">
        <v>153</v>
      </c>
      <c r="G303" s="9" t="str">
        <f t="shared" ref="G303:G314" si="119">IF(E303="","",IF(E303=1,"L",IF(E303=2,"R","?")))</f>
        <v>R</v>
      </c>
      <c r="H303" s="1" t="s">
        <v>1</v>
      </c>
      <c r="I303" s="4">
        <v>471</v>
      </c>
      <c r="J303" s="1" t="s">
        <v>153</v>
      </c>
      <c r="K303" s="7">
        <f t="shared" ref="K303:K314" si="120">IF(ISBLANK(I303),"",ROUND((700*I303)/800,0))</f>
        <v>412</v>
      </c>
      <c r="L303" s="1" t="s">
        <v>1</v>
      </c>
      <c r="M303" s="1">
        <v>315</v>
      </c>
      <c r="N303" s="1" t="s">
        <v>153</v>
      </c>
      <c r="O303" s="7">
        <f t="shared" ref="O303:O314" si="121">IF(ISBLANK(M303),"",ROUND((525*(600-M303-147))/600,0))</f>
        <v>121</v>
      </c>
      <c r="P303" s="1" t="s">
        <v>449</v>
      </c>
      <c r="Q303" s="11" t="s">
        <v>529</v>
      </c>
    </row>
    <row r="304" spans="2:17">
      <c r="B304" s="1" t="s">
        <v>0</v>
      </c>
      <c r="C304" s="3" t="s">
        <v>525</v>
      </c>
      <c r="D304" s="1" t="s">
        <v>1</v>
      </c>
      <c r="E304" s="4">
        <v>2</v>
      </c>
      <c r="F304" s="1" t="s">
        <v>153</v>
      </c>
      <c r="G304" s="9" t="str">
        <f t="shared" si="119"/>
        <v>R</v>
      </c>
      <c r="H304" s="1" t="s">
        <v>1</v>
      </c>
      <c r="I304" s="4">
        <v>368</v>
      </c>
      <c r="J304" s="1" t="s">
        <v>153</v>
      </c>
      <c r="K304" s="7">
        <f t="shared" si="120"/>
        <v>322</v>
      </c>
      <c r="L304" s="1" t="s">
        <v>1</v>
      </c>
      <c r="M304" s="1">
        <v>306</v>
      </c>
      <c r="N304" s="1" t="s">
        <v>153</v>
      </c>
      <c r="O304" s="7">
        <f t="shared" si="121"/>
        <v>129</v>
      </c>
      <c r="P304" s="1" t="s">
        <v>449</v>
      </c>
      <c r="Q304" s="11" t="s">
        <v>530</v>
      </c>
    </row>
    <row r="305" spans="2:17">
      <c r="B305" s="1" t="s">
        <v>0</v>
      </c>
      <c r="C305" s="3" t="s">
        <v>526</v>
      </c>
      <c r="D305" s="1" t="s">
        <v>1</v>
      </c>
      <c r="E305" s="4">
        <v>1</v>
      </c>
      <c r="F305" s="1" t="s">
        <v>153</v>
      </c>
      <c r="G305" s="9" t="str">
        <f t="shared" si="119"/>
        <v>L</v>
      </c>
      <c r="H305" s="1" t="s">
        <v>1</v>
      </c>
      <c r="I305" s="4">
        <v>299</v>
      </c>
      <c r="J305" s="1" t="s">
        <v>153</v>
      </c>
      <c r="K305" s="7">
        <f t="shared" si="120"/>
        <v>262</v>
      </c>
      <c r="L305" s="1" t="s">
        <v>1</v>
      </c>
      <c r="M305" s="1">
        <v>313</v>
      </c>
      <c r="N305" s="1" t="s">
        <v>153</v>
      </c>
      <c r="O305" s="7">
        <f t="shared" si="121"/>
        <v>123</v>
      </c>
      <c r="P305" s="1" t="s">
        <v>449</v>
      </c>
      <c r="Q305" s="11" t="s">
        <v>531</v>
      </c>
    </row>
    <row r="306" spans="2:17">
      <c r="B306" s="1" t="s">
        <v>0</v>
      </c>
      <c r="C306" s="3" t="s">
        <v>527</v>
      </c>
      <c r="D306" s="1" t="s">
        <v>1</v>
      </c>
      <c r="E306" s="4">
        <v>1</v>
      </c>
      <c r="F306" s="1" t="s">
        <v>153</v>
      </c>
      <c r="G306" s="9" t="str">
        <f t="shared" si="119"/>
        <v>L</v>
      </c>
      <c r="H306" s="1" t="s">
        <v>1</v>
      </c>
      <c r="I306" s="4">
        <v>258</v>
      </c>
      <c r="J306" s="1" t="s">
        <v>153</v>
      </c>
      <c r="K306" s="7">
        <f t="shared" si="120"/>
        <v>226</v>
      </c>
      <c r="L306" s="1" t="s">
        <v>1</v>
      </c>
      <c r="M306" s="1">
        <v>295</v>
      </c>
      <c r="N306" s="1" t="s">
        <v>153</v>
      </c>
      <c r="O306" s="7">
        <f t="shared" si="121"/>
        <v>138</v>
      </c>
      <c r="P306" s="1" t="s">
        <v>449</v>
      </c>
      <c r="Q306" s="11" t="s">
        <v>532</v>
      </c>
    </row>
    <row r="307" spans="2:17">
      <c r="B307" s="1" t="s">
        <v>0</v>
      </c>
      <c r="C307" s="3" t="s">
        <v>528</v>
      </c>
      <c r="D307" s="1" t="s">
        <v>1</v>
      </c>
      <c r="E307" s="4">
        <v>2</v>
      </c>
      <c r="F307" s="1" t="s">
        <v>153</v>
      </c>
      <c r="G307" s="9" t="str">
        <f t="shared" si="119"/>
        <v>R</v>
      </c>
      <c r="H307" s="1" t="s">
        <v>1</v>
      </c>
      <c r="I307" s="4">
        <v>333</v>
      </c>
      <c r="J307" s="1" t="s">
        <v>153</v>
      </c>
      <c r="K307" s="7">
        <f t="shared" si="120"/>
        <v>291</v>
      </c>
      <c r="L307" s="1" t="s">
        <v>1</v>
      </c>
      <c r="M307" s="1">
        <v>317</v>
      </c>
      <c r="N307" s="1" t="s">
        <v>153</v>
      </c>
      <c r="O307" s="7">
        <f t="shared" si="121"/>
        <v>119</v>
      </c>
      <c r="P307" s="1" t="s">
        <v>449</v>
      </c>
      <c r="Q307" s="11" t="s">
        <v>533</v>
      </c>
    </row>
    <row r="308" spans="2:17">
      <c r="B308" s="1" t="s">
        <v>0</v>
      </c>
      <c r="C308" s="3" t="s">
        <v>546</v>
      </c>
      <c r="D308" s="1" t="s">
        <v>1</v>
      </c>
      <c r="E308" s="4">
        <v>2</v>
      </c>
      <c r="F308" s="1" t="s">
        <v>153</v>
      </c>
      <c r="G308" s="9" t="str">
        <f t="shared" ref="G308" si="122">IF(E308="","",IF(E308=1,"L",IF(E308=2,"R","?")))</f>
        <v>R</v>
      </c>
      <c r="H308" s="1" t="s">
        <v>1</v>
      </c>
      <c r="I308" s="4">
        <v>333</v>
      </c>
      <c r="J308" s="1" t="s">
        <v>153</v>
      </c>
      <c r="K308" s="7">
        <f t="shared" ref="K308" si="123">IF(ISBLANK(I308),"",ROUND((700*I308)/800,0))</f>
        <v>291</v>
      </c>
      <c r="L308" s="1" t="s">
        <v>1</v>
      </c>
      <c r="M308" s="1">
        <v>317</v>
      </c>
      <c r="N308" s="1" t="s">
        <v>153</v>
      </c>
      <c r="O308" s="7">
        <f t="shared" ref="O308" si="124">IF(ISBLANK(M308),"",ROUND((525*(600-M308-147))/600,0))</f>
        <v>119</v>
      </c>
      <c r="P308" s="1" t="s">
        <v>449</v>
      </c>
      <c r="Q308" s="11" t="s">
        <v>547</v>
      </c>
    </row>
    <row r="309" spans="2:17">
      <c r="B309" s="1" t="s">
        <v>0</v>
      </c>
      <c r="C309" s="3" t="s">
        <v>534</v>
      </c>
      <c r="D309" s="1" t="s">
        <v>1</v>
      </c>
      <c r="E309" s="4">
        <v>1</v>
      </c>
      <c r="F309" s="1" t="s">
        <v>153</v>
      </c>
      <c r="G309" s="9" t="str">
        <f t="shared" si="119"/>
        <v>L</v>
      </c>
      <c r="H309" s="1" t="s">
        <v>1</v>
      </c>
      <c r="I309" s="4">
        <v>318</v>
      </c>
      <c r="J309" s="1" t="s">
        <v>153</v>
      </c>
      <c r="K309" s="7">
        <f t="shared" si="120"/>
        <v>278</v>
      </c>
      <c r="L309" s="1" t="s">
        <v>1</v>
      </c>
      <c r="M309" s="1">
        <v>232</v>
      </c>
      <c r="N309" s="1" t="s">
        <v>153</v>
      </c>
      <c r="O309" s="7">
        <f t="shared" si="121"/>
        <v>193</v>
      </c>
      <c r="P309" s="1" t="s">
        <v>449</v>
      </c>
      <c r="Q309" s="2" t="s">
        <v>542</v>
      </c>
    </row>
    <row r="310" spans="2:17">
      <c r="B310" s="1" t="s">
        <v>0</v>
      </c>
      <c r="C310" s="3" t="s">
        <v>535</v>
      </c>
      <c r="D310" s="1" t="s">
        <v>1</v>
      </c>
      <c r="E310" s="4">
        <v>1</v>
      </c>
      <c r="F310" s="1" t="s">
        <v>153</v>
      </c>
      <c r="G310" s="9" t="str">
        <f t="shared" si="119"/>
        <v>L</v>
      </c>
      <c r="H310" s="1" t="s">
        <v>1</v>
      </c>
      <c r="I310" s="4">
        <v>257</v>
      </c>
      <c r="J310" s="1" t="s">
        <v>153</v>
      </c>
      <c r="K310" s="7">
        <f t="shared" si="120"/>
        <v>225</v>
      </c>
      <c r="L310" s="1" t="s">
        <v>1</v>
      </c>
      <c r="M310" s="1">
        <v>269</v>
      </c>
      <c r="N310" s="1" t="s">
        <v>153</v>
      </c>
      <c r="O310" s="7">
        <f t="shared" si="121"/>
        <v>161</v>
      </c>
      <c r="P310" s="1" t="s">
        <v>449</v>
      </c>
      <c r="Q310" s="2" t="s">
        <v>543</v>
      </c>
    </row>
    <row r="311" spans="2:17">
      <c r="B311" s="1" t="s">
        <v>0</v>
      </c>
      <c r="C311" s="3" t="s">
        <v>536</v>
      </c>
      <c r="D311" s="1" t="s">
        <v>1</v>
      </c>
      <c r="E311" s="4">
        <v>1</v>
      </c>
      <c r="F311" s="1" t="s">
        <v>153</v>
      </c>
      <c r="G311" s="9" t="str">
        <f t="shared" si="119"/>
        <v>L</v>
      </c>
      <c r="H311" s="1" t="s">
        <v>1</v>
      </c>
      <c r="I311" s="4">
        <v>163</v>
      </c>
      <c r="J311" s="1" t="s">
        <v>153</v>
      </c>
      <c r="K311" s="7">
        <f t="shared" si="120"/>
        <v>143</v>
      </c>
      <c r="L311" s="1" t="s">
        <v>1</v>
      </c>
      <c r="M311" s="1">
        <v>252</v>
      </c>
      <c r="N311" s="1" t="s">
        <v>153</v>
      </c>
      <c r="O311" s="7">
        <f t="shared" si="121"/>
        <v>176</v>
      </c>
      <c r="P311" s="1" t="s">
        <v>449</v>
      </c>
      <c r="Q311" s="2" t="s">
        <v>544</v>
      </c>
    </row>
    <row r="312" spans="2:17">
      <c r="B312" s="1" t="s">
        <v>0</v>
      </c>
      <c r="C312" s="3" t="s">
        <v>537</v>
      </c>
      <c r="D312" s="1" t="s">
        <v>1</v>
      </c>
      <c r="E312" s="4">
        <v>1</v>
      </c>
      <c r="F312" s="1" t="s">
        <v>153</v>
      </c>
      <c r="G312" s="9" t="str">
        <f t="shared" si="119"/>
        <v>L</v>
      </c>
      <c r="H312" s="1" t="s">
        <v>1</v>
      </c>
      <c r="I312" s="4">
        <v>380</v>
      </c>
      <c r="J312" s="1" t="s">
        <v>153</v>
      </c>
      <c r="K312" s="7">
        <f t="shared" si="120"/>
        <v>333</v>
      </c>
      <c r="L312" s="1" t="s">
        <v>1</v>
      </c>
      <c r="M312" s="1">
        <v>203</v>
      </c>
      <c r="N312" s="1" t="s">
        <v>153</v>
      </c>
      <c r="O312" s="7">
        <f t="shared" si="121"/>
        <v>219</v>
      </c>
      <c r="P312" s="1" t="s">
        <v>449</v>
      </c>
      <c r="Q312" s="2" t="s">
        <v>545</v>
      </c>
    </row>
    <row r="313" spans="2:17">
      <c r="B313" s="1" t="s">
        <v>0</v>
      </c>
      <c r="C313" s="3" t="s">
        <v>538</v>
      </c>
      <c r="D313" s="1" t="s">
        <v>1</v>
      </c>
      <c r="E313" s="4">
        <v>2</v>
      </c>
      <c r="F313" s="1" t="s">
        <v>153</v>
      </c>
      <c r="G313" s="9" t="str">
        <f t="shared" si="119"/>
        <v>R</v>
      </c>
      <c r="H313" s="1" t="s">
        <v>1</v>
      </c>
      <c r="I313" s="4">
        <v>429</v>
      </c>
      <c r="J313" s="1" t="s">
        <v>153</v>
      </c>
      <c r="K313" s="7">
        <f t="shared" si="120"/>
        <v>375</v>
      </c>
      <c r="L313" s="1" t="s">
        <v>1</v>
      </c>
      <c r="M313" s="1">
        <v>266</v>
      </c>
      <c r="N313" s="1" t="s">
        <v>153</v>
      </c>
      <c r="O313" s="7">
        <f t="shared" si="121"/>
        <v>164</v>
      </c>
      <c r="P313" s="1" t="s">
        <v>449</v>
      </c>
      <c r="Q313" s="2" t="s">
        <v>540</v>
      </c>
    </row>
    <row r="314" spans="2:17">
      <c r="B314" s="1" t="s">
        <v>0</v>
      </c>
      <c r="C314" s="3" t="s">
        <v>539</v>
      </c>
      <c r="D314" s="1" t="s">
        <v>1</v>
      </c>
      <c r="E314" s="4">
        <v>1</v>
      </c>
      <c r="F314" s="1" t="s">
        <v>153</v>
      </c>
      <c r="G314" s="9" t="str">
        <f t="shared" si="119"/>
        <v>L</v>
      </c>
      <c r="H314" s="1" t="s">
        <v>1</v>
      </c>
      <c r="I314" s="4">
        <v>268</v>
      </c>
      <c r="J314" s="1" t="s">
        <v>153</v>
      </c>
      <c r="K314" s="7">
        <f t="shared" si="120"/>
        <v>235</v>
      </c>
      <c r="L314" s="1" t="s">
        <v>1</v>
      </c>
      <c r="M314" s="1">
        <v>191</v>
      </c>
      <c r="N314" s="1" t="s">
        <v>153</v>
      </c>
      <c r="O314" s="7">
        <f t="shared" si="121"/>
        <v>229</v>
      </c>
      <c r="P314" s="1" t="s">
        <v>449</v>
      </c>
      <c r="Q314" s="2" t="s">
        <v>541</v>
      </c>
    </row>
    <row r="315" spans="2:17">
      <c r="B315" s="1" t="s">
        <v>0</v>
      </c>
      <c r="C315" s="3" t="s">
        <v>559</v>
      </c>
      <c r="D315" s="1" t="s">
        <v>1</v>
      </c>
      <c r="E315" s="4">
        <v>2</v>
      </c>
      <c r="F315" s="1" t="s">
        <v>153</v>
      </c>
      <c r="G315" s="9" t="str">
        <f t="shared" ref="G315:G325" si="125">IF(E315="","",IF(E315=1,"L",IF(E315=2,"R","?")))</f>
        <v>R</v>
      </c>
      <c r="H315" s="1" t="s">
        <v>1</v>
      </c>
      <c r="I315" s="4">
        <v>194</v>
      </c>
      <c r="J315" s="1" t="s">
        <v>153</v>
      </c>
      <c r="K315" s="7">
        <f t="shared" ref="K315:K325" si="126">IF(ISBLANK(I315),"",ROUND((700*I315)/800,0))</f>
        <v>170</v>
      </c>
      <c r="L315" s="1" t="s">
        <v>1</v>
      </c>
      <c r="M315" s="1">
        <v>321</v>
      </c>
      <c r="N315" s="1" t="s">
        <v>153</v>
      </c>
      <c r="O315" s="7">
        <f t="shared" ref="O315:O325" si="127">IF(ISBLANK(M315),"",ROUND((525*(600-M315-147))/600,0))</f>
        <v>116</v>
      </c>
      <c r="P315" s="1" t="s">
        <v>449</v>
      </c>
      <c r="Q315" s="2" t="s">
        <v>548</v>
      </c>
    </row>
    <row r="316" spans="2:17">
      <c r="B316" s="1" t="s">
        <v>0</v>
      </c>
      <c r="C316" s="3" t="s">
        <v>560</v>
      </c>
      <c r="D316" s="1" t="s">
        <v>1</v>
      </c>
      <c r="E316" s="4">
        <v>1</v>
      </c>
      <c r="F316" s="1" t="s">
        <v>153</v>
      </c>
      <c r="G316" s="9" t="str">
        <f t="shared" si="125"/>
        <v>L</v>
      </c>
      <c r="H316" s="1" t="s">
        <v>1</v>
      </c>
      <c r="I316" s="4">
        <v>141</v>
      </c>
      <c r="J316" s="1" t="s">
        <v>153</v>
      </c>
      <c r="K316" s="7">
        <f t="shared" si="126"/>
        <v>123</v>
      </c>
      <c r="L316" s="1" t="s">
        <v>1</v>
      </c>
      <c r="M316" s="1">
        <v>238</v>
      </c>
      <c r="N316" s="1" t="s">
        <v>153</v>
      </c>
      <c r="O316" s="7">
        <f t="shared" si="127"/>
        <v>188</v>
      </c>
      <c r="P316" s="1" t="s">
        <v>449</v>
      </c>
      <c r="Q316" s="2" t="s">
        <v>549</v>
      </c>
    </row>
    <row r="317" spans="2:17">
      <c r="B317" s="1" t="s">
        <v>0</v>
      </c>
      <c r="C317" s="3" t="s">
        <v>561</v>
      </c>
      <c r="D317" s="1" t="s">
        <v>1</v>
      </c>
      <c r="E317" s="4">
        <v>2</v>
      </c>
      <c r="F317" s="1" t="s">
        <v>153</v>
      </c>
      <c r="G317" s="9" t="str">
        <f t="shared" si="125"/>
        <v>R</v>
      </c>
      <c r="H317" s="1" t="s">
        <v>1</v>
      </c>
      <c r="I317" s="4">
        <v>259</v>
      </c>
      <c r="J317" s="1" t="s">
        <v>153</v>
      </c>
      <c r="K317" s="7">
        <f t="shared" si="126"/>
        <v>227</v>
      </c>
      <c r="L317" s="1" t="s">
        <v>1</v>
      </c>
      <c r="M317" s="1">
        <v>248</v>
      </c>
      <c r="N317" s="1" t="s">
        <v>153</v>
      </c>
      <c r="O317" s="7">
        <f t="shared" si="127"/>
        <v>179</v>
      </c>
      <c r="P317" s="1" t="s">
        <v>449</v>
      </c>
      <c r="Q317" s="2" t="s">
        <v>550</v>
      </c>
    </row>
    <row r="318" spans="2:17">
      <c r="B318" s="1" t="s">
        <v>0</v>
      </c>
      <c r="C318" s="3" t="s">
        <v>562</v>
      </c>
      <c r="D318" s="1" t="s">
        <v>1</v>
      </c>
      <c r="E318" s="4">
        <v>1</v>
      </c>
      <c r="F318" s="1" t="s">
        <v>153</v>
      </c>
      <c r="G318" s="9" t="str">
        <f t="shared" si="125"/>
        <v>L</v>
      </c>
      <c r="H318" s="1" t="s">
        <v>1</v>
      </c>
      <c r="I318" s="4">
        <v>104</v>
      </c>
      <c r="J318" s="1" t="s">
        <v>153</v>
      </c>
      <c r="K318" s="7">
        <f t="shared" si="126"/>
        <v>91</v>
      </c>
      <c r="L318" s="1" t="s">
        <v>1</v>
      </c>
      <c r="M318" s="1">
        <v>255</v>
      </c>
      <c r="N318" s="1" t="s">
        <v>153</v>
      </c>
      <c r="O318" s="7">
        <f t="shared" si="127"/>
        <v>173</v>
      </c>
      <c r="P318" s="1" t="s">
        <v>449</v>
      </c>
      <c r="Q318" s="2" t="s">
        <v>551</v>
      </c>
    </row>
    <row r="319" spans="2:17">
      <c r="B319" s="1" t="s">
        <v>0</v>
      </c>
      <c r="C319" s="3" t="s">
        <v>563</v>
      </c>
      <c r="D319" s="1" t="s">
        <v>1</v>
      </c>
      <c r="E319" s="4">
        <v>1</v>
      </c>
      <c r="F319" s="1" t="s">
        <v>153</v>
      </c>
      <c r="G319" s="9" t="str">
        <f t="shared" si="125"/>
        <v>L</v>
      </c>
      <c r="H319" s="1" t="s">
        <v>1</v>
      </c>
      <c r="I319" s="4">
        <v>128</v>
      </c>
      <c r="J319" s="1" t="s">
        <v>153</v>
      </c>
      <c r="K319" s="7">
        <f t="shared" si="126"/>
        <v>112</v>
      </c>
      <c r="L319" s="1" t="s">
        <v>1</v>
      </c>
      <c r="M319" s="1">
        <v>236</v>
      </c>
      <c r="N319" s="1" t="s">
        <v>153</v>
      </c>
      <c r="O319" s="7">
        <f t="shared" si="127"/>
        <v>190</v>
      </c>
      <c r="P319" s="1" t="s">
        <v>449</v>
      </c>
      <c r="Q319" s="2" t="s">
        <v>553</v>
      </c>
    </row>
    <row r="320" spans="2:17">
      <c r="B320" s="1" t="s">
        <v>0</v>
      </c>
      <c r="C320" s="3" t="s">
        <v>564</v>
      </c>
      <c r="D320" s="1" t="s">
        <v>1</v>
      </c>
      <c r="E320" s="4">
        <v>1</v>
      </c>
      <c r="F320" s="1" t="s">
        <v>153</v>
      </c>
      <c r="G320" s="9" t="str">
        <f t="shared" si="125"/>
        <v>L</v>
      </c>
      <c r="H320" s="1" t="s">
        <v>1</v>
      </c>
      <c r="I320" s="4">
        <v>152</v>
      </c>
      <c r="J320" s="1" t="s">
        <v>153</v>
      </c>
      <c r="K320" s="7">
        <f t="shared" si="126"/>
        <v>133</v>
      </c>
      <c r="L320" s="1" t="s">
        <v>1</v>
      </c>
      <c r="M320" s="1">
        <v>234</v>
      </c>
      <c r="N320" s="1" t="s">
        <v>153</v>
      </c>
      <c r="O320" s="7">
        <f t="shared" si="127"/>
        <v>192</v>
      </c>
      <c r="P320" s="1" t="s">
        <v>449</v>
      </c>
      <c r="Q320" s="2" t="s">
        <v>554</v>
      </c>
    </row>
    <row r="321" spans="2:17">
      <c r="B321" s="1" t="s">
        <v>0</v>
      </c>
      <c r="C321" s="3" t="s">
        <v>565</v>
      </c>
      <c r="D321" s="1" t="s">
        <v>1</v>
      </c>
      <c r="E321" s="4">
        <v>1</v>
      </c>
      <c r="F321" s="1" t="s">
        <v>153</v>
      </c>
      <c r="G321" s="9" t="str">
        <f t="shared" si="125"/>
        <v>L</v>
      </c>
      <c r="H321" s="1" t="s">
        <v>1</v>
      </c>
      <c r="I321" s="4">
        <v>356</v>
      </c>
      <c r="J321" s="1" t="s">
        <v>153</v>
      </c>
      <c r="K321" s="7">
        <f t="shared" si="126"/>
        <v>312</v>
      </c>
      <c r="L321" s="1" t="s">
        <v>1</v>
      </c>
      <c r="M321" s="1">
        <v>219</v>
      </c>
      <c r="N321" s="1" t="s">
        <v>153</v>
      </c>
      <c r="O321" s="7">
        <f t="shared" si="127"/>
        <v>205</v>
      </c>
      <c r="P321" s="1" t="s">
        <v>449</v>
      </c>
      <c r="Q321" s="2" t="s">
        <v>555</v>
      </c>
    </row>
    <row r="322" spans="2:17">
      <c r="B322" s="1" t="s">
        <v>0</v>
      </c>
      <c r="C322" s="3" t="s">
        <v>566</v>
      </c>
      <c r="D322" s="1" t="s">
        <v>1</v>
      </c>
      <c r="E322" s="4">
        <v>1</v>
      </c>
      <c r="F322" s="1" t="s">
        <v>153</v>
      </c>
      <c r="G322" s="9" t="str">
        <f t="shared" si="125"/>
        <v>L</v>
      </c>
      <c r="H322" s="1" t="s">
        <v>1</v>
      </c>
      <c r="I322" s="4">
        <v>313</v>
      </c>
      <c r="J322" s="1" t="s">
        <v>153</v>
      </c>
      <c r="K322" s="7">
        <f t="shared" si="126"/>
        <v>274</v>
      </c>
      <c r="L322" s="1" t="s">
        <v>1</v>
      </c>
      <c r="M322" s="1">
        <v>217</v>
      </c>
      <c r="N322" s="1" t="s">
        <v>153</v>
      </c>
      <c r="O322" s="7">
        <f t="shared" si="127"/>
        <v>207</v>
      </c>
      <c r="P322" s="1" t="s">
        <v>449</v>
      </c>
      <c r="Q322" s="2" t="s">
        <v>557</v>
      </c>
    </row>
    <row r="323" spans="2:17">
      <c r="B323" s="1" t="s">
        <v>0</v>
      </c>
      <c r="C323" s="3" t="s">
        <v>567</v>
      </c>
      <c r="D323" s="1" t="s">
        <v>1</v>
      </c>
      <c r="E323" s="4">
        <v>1</v>
      </c>
      <c r="F323" s="1" t="s">
        <v>153</v>
      </c>
      <c r="G323" s="9" t="str">
        <f t="shared" si="125"/>
        <v>L</v>
      </c>
      <c r="H323" s="1" t="s">
        <v>1</v>
      </c>
      <c r="I323" s="4">
        <v>217</v>
      </c>
      <c r="J323" s="1" t="s">
        <v>153</v>
      </c>
      <c r="K323" s="7">
        <f t="shared" si="126"/>
        <v>190</v>
      </c>
      <c r="L323" s="1" t="s">
        <v>1</v>
      </c>
      <c r="M323" s="1">
        <v>215</v>
      </c>
      <c r="N323" s="1" t="s">
        <v>153</v>
      </c>
      <c r="O323" s="7">
        <f t="shared" si="127"/>
        <v>208</v>
      </c>
      <c r="P323" s="1" t="s">
        <v>449</v>
      </c>
      <c r="Q323" s="2" t="s">
        <v>556</v>
      </c>
    </row>
    <row r="324" spans="2:17">
      <c r="B324" s="1" t="s">
        <v>0</v>
      </c>
      <c r="C324" s="3" t="s">
        <v>568</v>
      </c>
      <c r="D324" s="1" t="s">
        <v>1</v>
      </c>
      <c r="E324" s="4">
        <v>1</v>
      </c>
      <c r="F324" s="1" t="s">
        <v>153</v>
      </c>
      <c r="G324" s="9" t="str">
        <f t="shared" si="125"/>
        <v>L</v>
      </c>
      <c r="H324" s="1" t="s">
        <v>1</v>
      </c>
      <c r="I324" s="4">
        <v>274</v>
      </c>
      <c r="J324" s="1" t="s">
        <v>153</v>
      </c>
      <c r="K324" s="7">
        <f t="shared" si="126"/>
        <v>240</v>
      </c>
      <c r="L324" s="1" t="s">
        <v>1</v>
      </c>
      <c r="M324" s="1">
        <v>299</v>
      </c>
      <c r="N324" s="1" t="s">
        <v>153</v>
      </c>
      <c r="O324" s="7">
        <f t="shared" si="127"/>
        <v>135</v>
      </c>
      <c r="P324" s="1" t="s">
        <v>449</v>
      </c>
      <c r="Q324" s="2" t="s">
        <v>558</v>
      </c>
    </row>
    <row r="325" spans="2:17">
      <c r="B325" s="1" t="s">
        <v>0</v>
      </c>
      <c r="C325" s="3" t="s">
        <v>569</v>
      </c>
      <c r="D325" s="1" t="s">
        <v>1</v>
      </c>
      <c r="E325" s="4">
        <v>1</v>
      </c>
      <c r="F325" s="1" t="s">
        <v>153</v>
      </c>
      <c r="G325" s="9" t="str">
        <f t="shared" si="125"/>
        <v>L</v>
      </c>
      <c r="H325" s="1" t="s">
        <v>1</v>
      </c>
      <c r="I325" s="4">
        <v>231</v>
      </c>
      <c r="J325" s="1" t="s">
        <v>153</v>
      </c>
      <c r="K325" s="7">
        <f t="shared" si="126"/>
        <v>202</v>
      </c>
      <c r="L325" s="1" t="s">
        <v>1</v>
      </c>
      <c r="M325" s="1">
        <v>176</v>
      </c>
      <c r="N325" s="1" t="s">
        <v>153</v>
      </c>
      <c r="O325" s="7">
        <f t="shared" si="127"/>
        <v>242</v>
      </c>
      <c r="P325" s="1" t="s">
        <v>449</v>
      </c>
      <c r="Q325" s="2" t="s">
        <v>552</v>
      </c>
    </row>
    <row r="326" spans="2:17">
      <c r="B326" s="1" t="s">
        <v>0</v>
      </c>
      <c r="C326" s="3" t="s">
        <v>570</v>
      </c>
      <c r="D326" s="1" t="s">
        <v>1</v>
      </c>
      <c r="E326" s="4">
        <v>1</v>
      </c>
      <c r="F326" s="1" t="s">
        <v>153</v>
      </c>
      <c r="G326" s="9" t="str">
        <f t="shared" ref="G326:G327" si="128">IF(E326="","",IF(E326=1,"L",IF(E326=2,"R","?")))</f>
        <v>L</v>
      </c>
      <c r="H326" s="1" t="s">
        <v>1</v>
      </c>
      <c r="I326" s="4">
        <v>415</v>
      </c>
      <c r="J326" s="1" t="s">
        <v>153</v>
      </c>
      <c r="K326" s="7">
        <f t="shared" ref="K326:K327" si="129">IF(ISBLANK(I326),"",ROUND((700*I326)/800,0))</f>
        <v>363</v>
      </c>
      <c r="L326" s="1" t="s">
        <v>1</v>
      </c>
      <c r="M326" s="1">
        <v>294</v>
      </c>
      <c r="N326" s="1" t="s">
        <v>153</v>
      </c>
      <c r="O326" s="7">
        <f t="shared" ref="O326:O327" si="130">IF(ISBLANK(M326),"",ROUND((525*(600-M326-147))/600,0))</f>
        <v>139</v>
      </c>
      <c r="P326" s="1" t="s">
        <v>449</v>
      </c>
      <c r="Q326" s="11" t="s">
        <v>573</v>
      </c>
    </row>
    <row r="327" spans="2:17">
      <c r="B327" s="1" t="s">
        <v>0</v>
      </c>
      <c r="C327" s="3" t="s">
        <v>571</v>
      </c>
      <c r="D327" s="1" t="s">
        <v>1</v>
      </c>
      <c r="E327" s="4">
        <v>1</v>
      </c>
      <c r="F327" s="1" t="s">
        <v>153</v>
      </c>
      <c r="G327" s="9" t="str">
        <f t="shared" si="128"/>
        <v>L</v>
      </c>
      <c r="H327" s="1" t="s">
        <v>1</v>
      </c>
      <c r="I327" s="4">
        <v>341</v>
      </c>
      <c r="J327" s="1" t="s">
        <v>153</v>
      </c>
      <c r="K327" s="7">
        <f t="shared" si="129"/>
        <v>298</v>
      </c>
      <c r="L327" s="1" t="s">
        <v>1</v>
      </c>
      <c r="M327" s="1">
        <v>290</v>
      </c>
      <c r="N327" s="1" t="s">
        <v>153</v>
      </c>
      <c r="O327" s="7">
        <f t="shared" si="130"/>
        <v>143</v>
      </c>
      <c r="P327" s="1" t="s">
        <v>449</v>
      </c>
      <c r="Q327" s="11" t="s">
        <v>572</v>
      </c>
    </row>
    <row r="328" spans="2:17">
      <c r="B328" s="1" t="s">
        <v>0</v>
      </c>
      <c r="C328" s="3" t="s">
        <v>575</v>
      </c>
      <c r="D328" s="1" t="s">
        <v>1</v>
      </c>
      <c r="F328" s="1" t="s">
        <v>153</v>
      </c>
      <c r="G328" s="9" t="str">
        <f t="shared" ref="G328:G331" si="131">IF(E328="","",IF(E328=1,"L",IF(E328=2,"R","?")))</f>
        <v/>
      </c>
      <c r="H328" s="1" t="s">
        <v>1</v>
      </c>
      <c r="J328" s="1" t="s">
        <v>153</v>
      </c>
      <c r="K328" s="7" t="str">
        <f t="shared" ref="K328:K331" si="132">IF(ISBLANK(I328),"",ROUND((700*I328)/800,0))</f>
        <v/>
      </c>
      <c r="L328" s="1" t="s">
        <v>1</v>
      </c>
      <c r="N328" s="1" t="s">
        <v>153</v>
      </c>
      <c r="O328" s="7" t="str">
        <f t="shared" ref="O328:O331" si="133">IF(ISBLANK(M328),"",ROUND((525*(600-M328-147))/600,0))</f>
        <v/>
      </c>
      <c r="P328" s="1" t="s">
        <v>449</v>
      </c>
      <c r="Q328" s="11" t="s">
        <v>579</v>
      </c>
    </row>
    <row r="329" spans="2:17">
      <c r="B329" s="1" t="s">
        <v>0</v>
      </c>
      <c r="C329" s="3" t="s">
        <v>574</v>
      </c>
      <c r="D329" s="1" t="s">
        <v>1</v>
      </c>
      <c r="F329" s="1" t="s">
        <v>153</v>
      </c>
      <c r="G329" s="9" t="str">
        <f t="shared" si="131"/>
        <v/>
      </c>
      <c r="H329" s="1" t="s">
        <v>1</v>
      </c>
      <c r="J329" s="1" t="s">
        <v>153</v>
      </c>
      <c r="K329" s="7" t="str">
        <f t="shared" si="132"/>
        <v/>
      </c>
      <c r="L329" s="1" t="s">
        <v>1</v>
      </c>
      <c r="N329" s="1" t="s">
        <v>153</v>
      </c>
      <c r="O329" s="7" t="str">
        <f t="shared" si="133"/>
        <v/>
      </c>
      <c r="P329" s="1" t="s">
        <v>449</v>
      </c>
      <c r="Q329" s="11" t="s">
        <v>580</v>
      </c>
    </row>
    <row r="330" spans="2:17">
      <c r="B330" s="1" t="s">
        <v>0</v>
      </c>
      <c r="C330" s="3" t="s">
        <v>576</v>
      </c>
      <c r="D330" s="1" t="s">
        <v>1</v>
      </c>
      <c r="F330" s="1" t="s">
        <v>153</v>
      </c>
      <c r="G330" s="9" t="str">
        <f t="shared" si="131"/>
        <v/>
      </c>
      <c r="H330" s="1" t="s">
        <v>1</v>
      </c>
      <c r="J330" s="1" t="s">
        <v>153</v>
      </c>
      <c r="K330" s="7" t="str">
        <f t="shared" si="132"/>
        <v/>
      </c>
      <c r="L330" s="1" t="s">
        <v>1</v>
      </c>
      <c r="N330" s="1" t="s">
        <v>153</v>
      </c>
      <c r="O330" s="7" t="str">
        <f t="shared" si="133"/>
        <v/>
      </c>
      <c r="P330" s="1" t="s">
        <v>449</v>
      </c>
      <c r="Q330" s="11" t="s">
        <v>578</v>
      </c>
    </row>
    <row r="331" spans="2:17">
      <c r="B331" s="1" t="s">
        <v>0</v>
      </c>
      <c r="C331" s="3" t="s">
        <v>577</v>
      </c>
      <c r="D331" s="1" t="s">
        <v>1</v>
      </c>
      <c r="F331" s="1" t="s">
        <v>153</v>
      </c>
      <c r="G331" s="9" t="str">
        <f t="shared" si="131"/>
        <v/>
      </c>
      <c r="H331" s="1" t="s">
        <v>1</v>
      </c>
      <c r="J331" s="1" t="s">
        <v>153</v>
      </c>
      <c r="K331" s="7" t="str">
        <f t="shared" si="132"/>
        <v/>
      </c>
      <c r="L331" s="1" t="s">
        <v>1</v>
      </c>
      <c r="N331" s="1" t="s">
        <v>153</v>
      </c>
      <c r="O331" s="7" t="str">
        <f t="shared" si="133"/>
        <v/>
      </c>
      <c r="P331" s="1" t="s">
        <v>449</v>
      </c>
      <c r="Q331" s="11" t="s">
        <v>581</v>
      </c>
    </row>
    <row r="332" spans="2:17">
      <c r="B332" s="1" t="s">
        <v>0</v>
      </c>
      <c r="C332" s="3" t="s">
        <v>582</v>
      </c>
      <c r="D332" s="1" t="s">
        <v>1</v>
      </c>
      <c r="F332" s="1" t="s">
        <v>153</v>
      </c>
      <c r="G332" s="9" t="str">
        <f t="shared" ref="G332" si="134">IF(E332="","",IF(E332=1,"L",IF(E332=2,"R","?")))</f>
        <v/>
      </c>
      <c r="H332" s="1" t="s">
        <v>1</v>
      </c>
      <c r="J332" s="1" t="s">
        <v>153</v>
      </c>
      <c r="K332" s="7" t="str">
        <f t="shared" ref="K332" si="135">IF(ISBLANK(I332),"",ROUND((700*I332)/800,0))</f>
        <v/>
      </c>
      <c r="L332" s="1" t="s">
        <v>1</v>
      </c>
      <c r="N332" s="1" t="s">
        <v>153</v>
      </c>
      <c r="O332" s="7" t="str">
        <f t="shared" ref="O332" si="136">IF(ISBLANK(M332),"",ROUND((525*(600-M332-147))/600,0))</f>
        <v/>
      </c>
      <c r="P332" s="1" t="s">
        <v>449</v>
      </c>
      <c r="Q332" s="2" t="s">
        <v>585</v>
      </c>
    </row>
    <row r="333" spans="2:17">
      <c r="B333" s="1" t="s">
        <v>0</v>
      </c>
      <c r="C333" s="3" t="s">
        <v>583</v>
      </c>
      <c r="D333" s="1" t="s">
        <v>1</v>
      </c>
      <c r="F333" s="1" t="s">
        <v>153</v>
      </c>
      <c r="G333" s="9" t="str">
        <f t="shared" ref="G333:G347" si="137">IF(E333="","",IF(E333=1,"L",IF(E333=2,"R","?")))</f>
        <v/>
      </c>
      <c r="H333" s="1" t="s">
        <v>1</v>
      </c>
      <c r="J333" s="1" t="s">
        <v>153</v>
      </c>
      <c r="K333" s="7" t="str">
        <f t="shared" ref="K333:K347" si="138">IF(ISBLANK(I333),"",ROUND((700*I333)/800,0))</f>
        <v/>
      </c>
      <c r="L333" s="1" t="s">
        <v>1</v>
      </c>
      <c r="N333" s="1" t="s">
        <v>153</v>
      </c>
      <c r="O333" s="7" t="str">
        <f t="shared" ref="O333:O347" si="139">IF(ISBLANK(M333),"",ROUND((525*(600-M333-147))/600,0))</f>
        <v/>
      </c>
      <c r="P333" s="1" t="s">
        <v>449</v>
      </c>
      <c r="Q333" s="2" t="s">
        <v>586</v>
      </c>
    </row>
    <row r="334" spans="2:17">
      <c r="B334" s="1" t="s">
        <v>0</v>
      </c>
      <c r="C334" s="3" t="s">
        <v>584</v>
      </c>
      <c r="D334" s="1" t="s">
        <v>1</v>
      </c>
      <c r="F334" s="1" t="s">
        <v>153</v>
      </c>
      <c r="G334" s="9" t="str">
        <f t="shared" si="137"/>
        <v/>
      </c>
      <c r="H334" s="1" t="s">
        <v>1</v>
      </c>
      <c r="J334" s="1" t="s">
        <v>153</v>
      </c>
      <c r="K334" s="7" t="str">
        <f t="shared" si="138"/>
        <v/>
      </c>
      <c r="L334" s="1" t="s">
        <v>1</v>
      </c>
      <c r="N334" s="1" t="s">
        <v>153</v>
      </c>
      <c r="O334" s="7" t="str">
        <f t="shared" si="139"/>
        <v/>
      </c>
      <c r="P334" s="1" t="s">
        <v>449</v>
      </c>
      <c r="Q334" s="2" t="s">
        <v>587</v>
      </c>
    </row>
    <row r="335" spans="2:17">
      <c r="B335" s="1" t="s">
        <v>0</v>
      </c>
      <c r="C335" s="3" t="s">
        <v>588</v>
      </c>
      <c r="D335" s="1" t="s">
        <v>1</v>
      </c>
      <c r="F335" s="1" t="s">
        <v>153</v>
      </c>
      <c r="G335" s="9" t="str">
        <f t="shared" si="137"/>
        <v/>
      </c>
      <c r="H335" s="1" t="s">
        <v>1</v>
      </c>
      <c r="J335" s="1" t="s">
        <v>153</v>
      </c>
      <c r="K335" s="7" t="str">
        <f t="shared" si="138"/>
        <v/>
      </c>
      <c r="L335" s="1" t="s">
        <v>1</v>
      </c>
      <c r="N335" s="1" t="s">
        <v>153</v>
      </c>
      <c r="O335" s="7" t="str">
        <f t="shared" si="139"/>
        <v/>
      </c>
      <c r="P335" s="1" t="s">
        <v>449</v>
      </c>
      <c r="Q335" s="2" t="s">
        <v>589</v>
      </c>
    </row>
    <row r="336" spans="2:17">
      <c r="B336" s="1" t="s">
        <v>0</v>
      </c>
      <c r="C336" s="3" t="s">
        <v>590</v>
      </c>
      <c r="D336" s="1" t="s">
        <v>1</v>
      </c>
      <c r="F336" s="1" t="s">
        <v>153</v>
      </c>
      <c r="G336" s="9" t="str">
        <f t="shared" si="137"/>
        <v/>
      </c>
      <c r="H336" s="1" t="s">
        <v>1</v>
      </c>
      <c r="J336" s="1" t="s">
        <v>153</v>
      </c>
      <c r="K336" s="7" t="str">
        <f t="shared" si="138"/>
        <v/>
      </c>
      <c r="L336" s="1" t="s">
        <v>1</v>
      </c>
      <c r="N336" s="1" t="s">
        <v>153</v>
      </c>
      <c r="O336" s="7" t="str">
        <f t="shared" si="139"/>
        <v/>
      </c>
      <c r="P336" s="1" t="s">
        <v>449</v>
      </c>
      <c r="Q336" s="2" t="s">
        <v>593</v>
      </c>
    </row>
    <row r="337" spans="2:17">
      <c r="B337" s="1" t="s">
        <v>0</v>
      </c>
      <c r="C337" s="3" t="s">
        <v>591</v>
      </c>
      <c r="D337" s="1" t="s">
        <v>1</v>
      </c>
      <c r="F337" s="1" t="s">
        <v>153</v>
      </c>
      <c r="G337" s="9" t="str">
        <f t="shared" si="137"/>
        <v/>
      </c>
      <c r="H337" s="1" t="s">
        <v>1</v>
      </c>
      <c r="J337" s="1" t="s">
        <v>153</v>
      </c>
      <c r="K337" s="7" t="str">
        <f t="shared" si="138"/>
        <v/>
      </c>
      <c r="L337" s="1" t="s">
        <v>1</v>
      </c>
      <c r="N337" s="1" t="s">
        <v>153</v>
      </c>
      <c r="O337" s="7" t="str">
        <f t="shared" si="139"/>
        <v/>
      </c>
      <c r="P337" s="1" t="s">
        <v>449</v>
      </c>
      <c r="Q337" s="2" t="s">
        <v>592</v>
      </c>
    </row>
    <row r="338" spans="2:17">
      <c r="B338" s="1" t="s">
        <v>0</v>
      </c>
      <c r="C338" s="3" t="s">
        <v>594</v>
      </c>
      <c r="D338" s="1" t="s">
        <v>1</v>
      </c>
      <c r="F338" s="1" t="s">
        <v>153</v>
      </c>
      <c r="G338" s="9" t="str">
        <f t="shared" si="137"/>
        <v/>
      </c>
      <c r="H338" s="1" t="s">
        <v>1</v>
      </c>
      <c r="J338" s="1" t="s">
        <v>153</v>
      </c>
      <c r="K338" s="7" t="str">
        <f t="shared" si="138"/>
        <v/>
      </c>
      <c r="L338" s="1" t="s">
        <v>1</v>
      </c>
      <c r="N338" s="1" t="s">
        <v>153</v>
      </c>
      <c r="O338" s="7" t="str">
        <f t="shared" si="139"/>
        <v/>
      </c>
      <c r="P338" s="1" t="s">
        <v>449</v>
      </c>
      <c r="Q338" s="11" t="s">
        <v>605</v>
      </c>
    </row>
    <row r="339" spans="2:17">
      <c r="B339" s="1" t="s">
        <v>0</v>
      </c>
      <c r="C339" s="3" t="s">
        <v>595</v>
      </c>
      <c r="D339" s="1" t="s">
        <v>1</v>
      </c>
      <c r="F339" s="1" t="s">
        <v>153</v>
      </c>
      <c r="G339" s="9" t="str">
        <f t="shared" si="137"/>
        <v/>
      </c>
      <c r="H339" s="1" t="s">
        <v>1</v>
      </c>
      <c r="J339" s="1" t="s">
        <v>153</v>
      </c>
      <c r="K339" s="7" t="str">
        <f t="shared" si="138"/>
        <v/>
      </c>
      <c r="L339" s="1" t="s">
        <v>1</v>
      </c>
      <c r="N339" s="1" t="s">
        <v>153</v>
      </c>
      <c r="O339" s="7" t="str">
        <f t="shared" si="139"/>
        <v/>
      </c>
      <c r="P339" s="1" t="s">
        <v>449</v>
      </c>
      <c r="Q339" s="11" t="s">
        <v>604</v>
      </c>
    </row>
    <row r="340" spans="2:17">
      <c r="B340" s="1" t="s">
        <v>0</v>
      </c>
      <c r="C340" s="3" t="s">
        <v>596</v>
      </c>
      <c r="D340" s="1" t="s">
        <v>1</v>
      </c>
      <c r="F340" s="1" t="s">
        <v>153</v>
      </c>
      <c r="G340" s="9" t="str">
        <f t="shared" si="137"/>
        <v/>
      </c>
      <c r="H340" s="1" t="s">
        <v>1</v>
      </c>
      <c r="J340" s="1" t="s">
        <v>153</v>
      </c>
      <c r="K340" s="7" t="str">
        <f t="shared" si="138"/>
        <v/>
      </c>
      <c r="L340" s="1" t="s">
        <v>1</v>
      </c>
      <c r="N340" s="1" t="s">
        <v>153</v>
      </c>
      <c r="O340" s="7" t="str">
        <f t="shared" si="139"/>
        <v/>
      </c>
      <c r="P340" s="1" t="s">
        <v>449</v>
      </c>
      <c r="Q340" s="11" t="s">
        <v>606</v>
      </c>
    </row>
    <row r="341" spans="2:17">
      <c r="B341" s="1" t="s">
        <v>0</v>
      </c>
      <c r="C341" s="3" t="s">
        <v>597</v>
      </c>
      <c r="D341" s="1" t="s">
        <v>1</v>
      </c>
      <c r="F341" s="1" t="s">
        <v>153</v>
      </c>
      <c r="G341" s="9" t="str">
        <f t="shared" si="137"/>
        <v/>
      </c>
      <c r="H341" s="1" t="s">
        <v>1</v>
      </c>
      <c r="J341" s="1" t="s">
        <v>153</v>
      </c>
      <c r="K341" s="7" t="str">
        <f t="shared" si="138"/>
        <v/>
      </c>
      <c r="L341" s="1" t="s">
        <v>1</v>
      </c>
      <c r="N341" s="1" t="s">
        <v>153</v>
      </c>
      <c r="O341" s="7" t="str">
        <f t="shared" si="139"/>
        <v/>
      </c>
      <c r="P341" s="1" t="s">
        <v>449</v>
      </c>
      <c r="Q341" s="11" t="s">
        <v>607</v>
      </c>
    </row>
    <row r="342" spans="2:17">
      <c r="B342" s="1" t="s">
        <v>0</v>
      </c>
      <c r="C342" s="3" t="s">
        <v>598</v>
      </c>
      <c r="D342" s="1" t="s">
        <v>1</v>
      </c>
      <c r="F342" s="1" t="s">
        <v>153</v>
      </c>
      <c r="G342" s="9" t="str">
        <f t="shared" si="137"/>
        <v/>
      </c>
      <c r="H342" s="1" t="s">
        <v>1</v>
      </c>
      <c r="J342" s="1" t="s">
        <v>153</v>
      </c>
      <c r="K342" s="7" t="str">
        <f t="shared" si="138"/>
        <v/>
      </c>
      <c r="L342" s="1" t="s">
        <v>1</v>
      </c>
      <c r="N342" s="1" t="s">
        <v>153</v>
      </c>
      <c r="O342" s="7" t="str">
        <f t="shared" si="139"/>
        <v/>
      </c>
      <c r="P342" s="1" t="s">
        <v>449</v>
      </c>
      <c r="Q342" s="11" t="s">
        <v>608</v>
      </c>
    </row>
    <row r="343" spans="2:17">
      <c r="B343" s="1" t="s">
        <v>0</v>
      </c>
      <c r="C343" s="3" t="s">
        <v>599</v>
      </c>
      <c r="D343" s="1" t="s">
        <v>1</v>
      </c>
      <c r="F343" s="1" t="s">
        <v>153</v>
      </c>
      <c r="G343" s="9" t="str">
        <f t="shared" si="137"/>
        <v/>
      </c>
      <c r="H343" s="1" t="s">
        <v>1</v>
      </c>
      <c r="J343" s="1" t="s">
        <v>153</v>
      </c>
      <c r="K343" s="7" t="str">
        <f t="shared" si="138"/>
        <v/>
      </c>
      <c r="L343" s="1" t="s">
        <v>1</v>
      </c>
      <c r="N343" s="1" t="s">
        <v>153</v>
      </c>
      <c r="O343" s="7" t="str">
        <f t="shared" si="139"/>
        <v/>
      </c>
      <c r="P343" s="1" t="s">
        <v>449</v>
      </c>
      <c r="Q343" s="11" t="s">
        <v>609</v>
      </c>
    </row>
    <row r="344" spans="2:17">
      <c r="B344" s="1" t="s">
        <v>0</v>
      </c>
      <c r="C344" s="3" t="s">
        <v>600</v>
      </c>
      <c r="D344" s="1" t="s">
        <v>1</v>
      </c>
      <c r="F344" s="1" t="s">
        <v>153</v>
      </c>
      <c r="G344" s="9" t="str">
        <f t="shared" si="137"/>
        <v/>
      </c>
      <c r="H344" s="1" t="s">
        <v>1</v>
      </c>
      <c r="J344" s="1" t="s">
        <v>153</v>
      </c>
      <c r="K344" s="7" t="str">
        <f t="shared" si="138"/>
        <v/>
      </c>
      <c r="L344" s="1" t="s">
        <v>1</v>
      </c>
      <c r="N344" s="1" t="s">
        <v>153</v>
      </c>
      <c r="O344" s="7" t="str">
        <f t="shared" si="139"/>
        <v/>
      </c>
      <c r="P344" s="1" t="s">
        <v>449</v>
      </c>
      <c r="Q344" s="11" t="s">
        <v>610</v>
      </c>
    </row>
    <row r="345" spans="2:17">
      <c r="B345" s="1" t="s">
        <v>0</v>
      </c>
      <c r="C345" s="3" t="s">
        <v>601</v>
      </c>
      <c r="D345" s="1" t="s">
        <v>1</v>
      </c>
      <c r="F345" s="1" t="s">
        <v>153</v>
      </c>
      <c r="G345" s="9" t="str">
        <f t="shared" si="137"/>
        <v/>
      </c>
      <c r="H345" s="1" t="s">
        <v>1</v>
      </c>
      <c r="J345" s="1" t="s">
        <v>153</v>
      </c>
      <c r="K345" s="7" t="str">
        <f t="shared" si="138"/>
        <v/>
      </c>
      <c r="L345" s="1" t="s">
        <v>1</v>
      </c>
      <c r="N345" s="1" t="s">
        <v>153</v>
      </c>
      <c r="O345" s="7" t="str">
        <f t="shared" si="139"/>
        <v/>
      </c>
      <c r="P345" s="1" t="s">
        <v>449</v>
      </c>
      <c r="Q345" s="11" t="s">
        <v>611</v>
      </c>
    </row>
    <row r="346" spans="2:17">
      <c r="B346" s="1" t="s">
        <v>0</v>
      </c>
      <c r="C346" s="3" t="s">
        <v>602</v>
      </c>
      <c r="D346" s="1" t="s">
        <v>1</v>
      </c>
      <c r="F346" s="1" t="s">
        <v>153</v>
      </c>
      <c r="G346" s="9" t="str">
        <f t="shared" si="137"/>
        <v/>
      </c>
      <c r="H346" s="1" t="s">
        <v>1</v>
      </c>
      <c r="J346" s="1" t="s">
        <v>153</v>
      </c>
      <c r="K346" s="7" t="str">
        <f t="shared" si="138"/>
        <v/>
      </c>
      <c r="L346" s="1" t="s">
        <v>1</v>
      </c>
      <c r="N346" s="1" t="s">
        <v>153</v>
      </c>
      <c r="O346" s="7" t="str">
        <f t="shared" si="139"/>
        <v/>
      </c>
      <c r="P346" s="1" t="s">
        <v>449</v>
      </c>
      <c r="Q346" s="11" t="s">
        <v>612</v>
      </c>
    </row>
    <row r="347" spans="2:17">
      <c r="B347" s="1" t="s">
        <v>0</v>
      </c>
      <c r="C347" s="3" t="s">
        <v>603</v>
      </c>
      <c r="D347" s="1" t="s">
        <v>1</v>
      </c>
      <c r="F347" s="1" t="s">
        <v>153</v>
      </c>
      <c r="G347" s="9" t="str">
        <f t="shared" si="137"/>
        <v/>
      </c>
      <c r="H347" s="1" t="s">
        <v>1</v>
      </c>
      <c r="J347" s="1" t="s">
        <v>153</v>
      </c>
      <c r="K347" s="7" t="str">
        <f t="shared" si="138"/>
        <v/>
      </c>
      <c r="L347" s="1" t="s">
        <v>1</v>
      </c>
      <c r="N347" s="1" t="s">
        <v>153</v>
      </c>
      <c r="O347" s="7" t="str">
        <f t="shared" si="139"/>
        <v/>
      </c>
      <c r="P347" s="1" t="s">
        <v>449</v>
      </c>
      <c r="Q347" s="11" t="s">
        <v>613</v>
      </c>
    </row>
  </sheetData>
  <phoneticPr fontId="2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coop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starcom</dc:creator>
  <cp:lastModifiedBy>starcom</cp:lastModifiedBy>
  <dcterms:created xsi:type="dcterms:W3CDTF">2015-02-07T06:36:43Z</dcterms:created>
  <dcterms:modified xsi:type="dcterms:W3CDTF">2015-04-14T23:18:36Z</dcterms:modified>
</cp:coreProperties>
</file>